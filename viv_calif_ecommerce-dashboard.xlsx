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763884dc89fb81d0/Documents/Portfolio Files/"/>
    </mc:Choice>
  </mc:AlternateContent>
  <xr:revisionPtr revIDLastSave="3" documentId="8_{EC01A564-40F9-4E90-A953-46C286E80E7D}" xr6:coauthVersionLast="47" xr6:coauthVersionMax="47" xr10:uidLastSave="{10B8621B-1AB3-4F9A-950F-BB3DF4D3BD83}"/>
  <bookViews>
    <workbookView xWindow="-108" yWindow="-108" windowWidth="23256" windowHeight="12456" firstSheet="1" activeTab="1" xr2:uid="{346724B3-1C49-40AE-AA36-C77CF5D6DD09}"/>
  </bookViews>
  <sheets>
    <sheet name="Sheet1" sheetId="5" state="hidden" r:id="rId1"/>
    <sheet name="Dashboard" sheetId="3" r:id="rId2"/>
    <sheet name="Data" sheetId="1" r:id="rId3"/>
    <sheet name="Pivots" sheetId="6" r:id="rId4"/>
    <sheet name="Questions &amp; KPIs" sheetId="2" r:id="rId5"/>
  </sheets>
  <definedNames>
    <definedName name="_xlchart.v5.0" hidden="1">Pivots!$F$77:$G$77</definedName>
    <definedName name="_xlchart.v5.1" hidden="1">Pivots!$F$78:$G$135</definedName>
    <definedName name="_xlchart.v5.10" hidden="1">Pivots!$H$77</definedName>
    <definedName name="_xlchart.v5.11" hidden="1">Pivots!$H$78:$H$135</definedName>
    <definedName name="_xlchart.v5.12" hidden="1">Pivots!$J$77:$K$77</definedName>
    <definedName name="_xlchart.v5.13" hidden="1">Pivots!$J$78:$K$135</definedName>
    <definedName name="_xlchart.v5.14" hidden="1">Pivots!$L$77</definedName>
    <definedName name="_xlchart.v5.15" hidden="1">Pivots!$L$78:$L$135</definedName>
    <definedName name="_xlchart.v5.2" hidden="1">Pivots!$H$77</definedName>
    <definedName name="_xlchart.v5.3" hidden="1">Pivots!$H$78:$H$135</definedName>
    <definedName name="_xlchart.v5.4" hidden="1">Pivots!$J$77:$K$77</definedName>
    <definedName name="_xlchart.v5.5" hidden="1">Pivots!$J$78:$K$135</definedName>
    <definedName name="_xlchart.v5.6" hidden="1">Pivots!$L$77</definedName>
    <definedName name="_xlchart.v5.7" hidden="1">Pivots!$L$78:$L$135</definedName>
    <definedName name="_xlchart.v5.8" hidden="1">Pivots!$F$77:$G$77</definedName>
    <definedName name="_xlchart.v5.9" hidden="1">Pivots!$F$78:$G$135</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5" l="1"/>
  <c r="J4" i="5"/>
  <c r="K4" i="5"/>
  <c r="H5" i="5"/>
  <c r="I5" i="5"/>
  <c r="J5" i="5"/>
  <c r="K5" i="5"/>
  <c r="H6" i="5"/>
  <c r="I6" i="5"/>
  <c r="J6" i="5"/>
  <c r="K6" i="5"/>
  <c r="H7" i="5"/>
  <c r="I7" i="5"/>
  <c r="J7" i="5"/>
  <c r="K7" i="5"/>
  <c r="H8" i="5"/>
  <c r="I8" i="5"/>
  <c r="J8" i="5"/>
  <c r="K8" i="5"/>
  <c r="H9" i="5"/>
  <c r="I9" i="5"/>
  <c r="J9" i="5"/>
  <c r="K9" i="5"/>
  <c r="G4" i="6"/>
  <c r="I4" i="6"/>
  <c r="K4" i="6"/>
  <c r="J4" i="6"/>
  <c r="H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<sst xmlns="http://schemas.openxmlformats.org/spreadsheetml/2006/main" count="14904" uniqueCount="2558">
  <si>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</si>
  <si>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</si>
  <si>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</si>
  <si>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</si>
  <si>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</si>
  <si>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</si>
  <si>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</si>
  <si>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</si>
  <si>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</si>
  <si>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</si>
  <si>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</si>
  <si>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</si>
  <si>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</si>
  <si>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</si>
  <si>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</si>
  <si>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</si>
  <si>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</si>
  <si>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</si>
  <si>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</si>
  <si>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</si>
  <si>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</si>
  <si>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</si>
  <si>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</si>
  <si>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</si>
  <si>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</si>
  <si>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</si>
  <si>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</si>
  <si>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</si>
  <si>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</si>
  <si>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</si>
  <si>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</si>
  <si>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</si>
  <si>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</si>
  <si>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</si>
  <si>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</si>
  <si>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</si>
  <si>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</si>
  <si>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</si>
  <si>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</si>
  <si>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</si>
  <si>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</si>
  <si>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</si>
  <si>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</si>
  <si>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</si>
  <si>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</si>
  <si>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</si>
  <si>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</si>
  <si>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</si>
  <si>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</si>
  <si>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</si>
  <si>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</si>
  <si>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</si>
  <si>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</si>
  <si>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</si>
  <si>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</si>
  <si>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</si>
  <si>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</si>
  <si>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</si>
  <si>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</si>
  <si>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</si>
  <si>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</si>
  <si>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</si>
  <si>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</si>
  <si>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</si>
  <si>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</si>
  <si>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</si>
  <si>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</si>
  <si>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</si>
  <si>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</si>
  <si>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</si>
  <si>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</si>
  <si>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</si>
  <si>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</si>
  <si>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</si>
  <si>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</si>
  <si>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</si>
  <si>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</si>
  <si>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</si>
  <si>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</si>
  <si>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</si>
  <si>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</si>
  <si>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</si>
  <si>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</si>
  <si>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</si>
  <si>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</si>
  <si>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</si>
  <si>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</si>
  <si>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</si>
  <si>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</si>
  <si>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</si>
  <si>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</si>
  <si>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</si>
  <si>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</si>
  <si>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</si>
  <si>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</si>
  <si>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</si>
  <si>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</si>
  <si>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</si>
  <si>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</si>
  <si>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</si>
  <si>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</si>
  <si>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</si>
  <si>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</si>
  <si>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</si>
  <si>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</si>
  <si>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</si>
  <si>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</si>
  <si>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</si>
  <si>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</si>
  <si>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</si>
  <si>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</si>
  <si>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</si>
  <si>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</si>
  <si>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</si>
  <si>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</si>
  <si>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</si>
  <si>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</si>
  <si>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</si>
  <si>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</si>
  <si>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</si>
  <si>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</si>
  <si>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</si>
  <si>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</si>
  <si>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</si>
  <si>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</si>
  <si>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</si>
  <si>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</si>
  <si>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</si>
  <si>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</si>
  <si>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</si>
  <si>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</si>
  <si>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</si>
  <si>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</si>
  <si>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</si>
  <si>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</si>
  <si>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</si>
  <si>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</si>
  <si>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</si>
  <si>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</si>
  <si>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</si>
  <si>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</si>
  <si>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</si>
  <si>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</si>
  <si>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</si>
  <si>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</si>
  <si>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</si>
  <si>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</si>
  <si>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</si>
  <si>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</si>
  <si>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</si>
  <si>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</si>
  <si>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</si>
  <si>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</si>
  <si>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</si>
  <si>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</si>
  <si>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</si>
  <si>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</si>
  <si>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</si>
  <si>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</si>
  <si>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</si>
  <si>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</si>
  <si>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</si>
  <si>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</si>
  <si>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</si>
  <si>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</si>
  <si>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</si>
  <si>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</si>
  <si>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</si>
  <si>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</si>
  <si>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</si>
  <si>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</si>
  <si>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</si>
  <si>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</si>
  <si>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</si>
  <si>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</si>
  <si>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</si>
  <si>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</si>
  <si>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</si>
  <si>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</si>
  <si>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</si>
  <si>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</si>
  <si>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</si>
  <si>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</si>
  <si>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</si>
  <si>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</si>
  <si>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</si>
  <si>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</si>
  <si>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</si>
  <si>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</si>
  <si>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</si>
  <si>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</si>
  <si>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</si>
  <si>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</si>
  <si>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</si>
  <si>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</si>
  <si>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</si>
  <si>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</si>
  <si>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</si>
  <si>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</si>
  <si>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</si>
  <si>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</si>
  <si>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</si>
  <si>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</si>
  <si>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</si>
  <si>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</si>
  <si>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</si>
  <si>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</si>
  <si>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</si>
  <si>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</si>
  <si>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</si>
  <si>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</si>
  <si>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</si>
  <si>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</si>
  <si>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</si>
  <si>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</si>
  <si>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</si>
  <si>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</si>
  <si>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</si>
  <si>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</si>
  <si>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</si>
  <si>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</si>
  <si>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</si>
  <si>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</si>
  <si>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</si>
  <si>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</si>
  <si>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</si>
  <si>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</si>
  <si>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</si>
  <si>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</si>
  <si>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</si>
  <si>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</si>
  <si>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</si>
  <si>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</si>
  <si>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</si>
  <si>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</si>
  <si>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</si>
  <si>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</si>
  <si>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</si>
  <si>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</si>
  <si>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</si>
  <si>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</si>
  <si>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</si>
  <si>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</si>
  <si>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</si>
  <si>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</si>
  <si>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</si>
  <si>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</si>
  <si>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</si>
  <si>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</si>
  <si>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</si>
  <si>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</si>
  <si>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</si>
  <si>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</si>
  <si>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</si>
  <si>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</si>
  <si>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</si>
  <si>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</si>
  <si>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</si>
  <si>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</si>
  <si>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</si>
  <si>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</si>
  <si>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</si>
  <si>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</si>
  <si>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</si>
  <si>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</si>
  <si>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</si>
  <si>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</si>
  <si>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</si>
  <si>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</si>
  <si>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</si>
  <si>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</si>
  <si>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</si>
  <si>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</si>
  <si>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</si>
  <si>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</si>
  <si>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</si>
  <si>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</si>
  <si>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</si>
  <si>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</si>
  <si>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</si>
  <si>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</si>
  <si>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</si>
  <si>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</si>
  <si>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</si>
  <si>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</si>
  <si>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</si>
  <si>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</si>
  <si>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</si>
  <si>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</si>
  <si>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</si>
  <si>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</si>
  <si>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</si>
  <si>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</si>
  <si>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</si>
  <si>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</si>
  <si>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</si>
  <si>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</si>
  <si>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</si>
  <si>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</si>
  <si>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</si>
  <si>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</si>
  <si>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</si>
  <si>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</si>
  <si>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</si>
  <si>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</si>
  <si>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</si>
  <si>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</si>
  <si>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</si>
  <si>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</si>
  <si>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</si>
  <si>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</si>
  <si>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</si>
  <si>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</si>
  <si>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</si>
  <si>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</si>
  <si>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</si>
  <si>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</si>
  <si>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</si>
  <si>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</si>
  <si>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</si>
  <si>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</si>
  <si>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</si>
  <si>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</si>
  <si>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</si>
  <si>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</si>
  <si>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</si>
  <si>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</si>
  <si>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</si>
  <si>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</si>
  <si>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</si>
  <si>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</si>
  <si>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</si>
  <si>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</si>
  <si>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</si>
  <si>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</si>
  <si>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</si>
  <si>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</si>
  <si>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</si>
  <si>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</si>
  <si>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</si>
  <si>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</si>
  <si>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</si>
  <si>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</si>
  <si>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</si>
  <si>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</si>
  <si>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</si>
  <si>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</si>
  <si>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</si>
  <si>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</si>
  <si>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</si>
  <si>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</si>
  <si>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</si>
  <si>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</si>
  <si>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</si>
  <si>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</si>
  <si>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</si>
  <si>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</si>
  <si>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</si>
  <si>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</si>
  <si>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</si>
  <si>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</si>
  <si>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</si>
  <si>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</si>
  <si>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</si>
  <si>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</si>
  <si>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</si>
  <si>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</si>
  <si>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</si>
  <si>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</si>
  <si>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</si>
  <si>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</si>
  <si>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</si>
  <si>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</si>
  <si>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</si>
  <si>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</si>
  <si>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</si>
  <si>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</si>
  <si>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</si>
  <si>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</si>
  <si>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</si>
  <si>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</si>
  <si>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</si>
  <si>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</si>
  <si>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</si>
  <si>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</si>
  <si>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</si>
  <si>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</si>
  <si>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</si>
  <si>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</si>
  <si>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</si>
  <si>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</si>
  <si>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</si>
  <si>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</si>
  <si>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</si>
  <si>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</si>
  <si>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</si>
  <si>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</si>
  <si>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</si>
  <si>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</si>
  <si>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</si>
  <si>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</si>
  <si>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</si>
  <si>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</si>
  <si>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</si>
  <si>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</si>
  <si>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</si>
  <si>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</si>
  <si>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</si>
  <si>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</si>
  <si>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</si>
  <si>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</si>
  <si>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</si>
  <si>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</si>
  <si>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</si>
  <si>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</si>
  <si>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</si>
  <si>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</si>
  <si>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</si>
  <si>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</si>
  <si>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</si>
  <si>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</si>
  <si>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</si>
  <si>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</si>
  <si>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</si>
  <si>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</si>
  <si>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</si>
  <si>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</si>
  <si>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</si>
  <si>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</si>
  <si>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</si>
  <si>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</si>
  <si>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</si>
  <si>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</si>
  <si>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</si>
  <si>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</si>
  <si>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</si>
  <si>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</si>
  <si>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</si>
  <si>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</si>
  <si>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</si>
  <si>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</si>
  <si>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</si>
  <si>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</si>
  <si>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</si>
  <si>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</si>
  <si>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</si>
  <si>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</si>
  <si>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</si>
  <si>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</si>
  <si>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</si>
  <si>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</si>
  <si>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</si>
  <si>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</si>
  <si>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</si>
  <si>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</si>
  <si>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</si>
  <si>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</si>
  <si>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</si>
  <si>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</si>
  <si>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</si>
  <si>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</si>
  <si>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</si>
  <si>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</si>
  <si>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</si>
  <si>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</si>
  <si>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</si>
  <si>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</si>
  <si>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</si>
  <si>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</si>
  <si>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</si>
  <si>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</si>
  <si>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</si>
  <si>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</si>
  <si>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</si>
  <si>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</si>
  <si>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</si>
  <si>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</si>
  <si>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</si>
  <si>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</si>
  <si>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</si>
  <si>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</si>
  <si>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</si>
  <si>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</si>
  <si>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</si>
  <si>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</si>
  <si>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</si>
  <si>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</si>
  <si>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</si>
  <si>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</si>
  <si>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</si>
  <si>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</si>
  <si>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</si>
  <si>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</si>
  <si>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</si>
  <si>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</si>
  <si>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</si>
  <si>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</si>
  <si>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</si>
  <si>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</si>
  <si>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</si>
  <si>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</si>
  <si>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</si>
  <si>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</si>
  <si>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</si>
  <si>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</si>
  <si>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</si>
  <si>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</si>
  <si>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</si>
  <si>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</si>
  <si>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</si>
  <si>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</si>
  <si>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</si>
  <si>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</si>
  <si>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</si>
  <si>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</si>
  <si>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</si>
  <si>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</si>
  <si>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</si>
  <si>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</si>
  <si>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</si>
  <si>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</si>
  <si>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</si>
  <si>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</si>
  <si>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</si>
  <si>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</si>
  <si>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</si>
  <si>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</si>
  <si>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</si>
  <si>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</si>
  <si>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</si>
  <si>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</si>
  <si>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</si>
  <si>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</si>
  <si>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</si>
  <si>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</si>
  <si>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</si>
  <si>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</si>
  <si>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</si>
  <si>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</si>
  <si>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</si>
  <si>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</si>
  <si>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</si>
  <si>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</si>
  <si>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</si>
  <si>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</si>
  <si>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</si>
  <si>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</si>
  <si>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</si>
  <si>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</si>
  <si>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</si>
  <si>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</si>
  <si>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</si>
  <si>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</si>
  <si>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</si>
  <si>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</si>
  <si>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</si>
  <si>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</si>
  <si>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</si>
  <si>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</si>
  <si>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</si>
  <si>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</si>
  <si>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</si>
  <si>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</si>
  <si>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</si>
  <si>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</si>
  <si>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</si>
  <si>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</si>
  <si>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</si>
  <si>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</si>
  <si>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</si>
  <si>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</si>
  <si>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</si>
  <si>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</si>
  <si>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</si>
  <si>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</si>
  <si>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</si>
  <si>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</si>
  <si>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</si>
  <si>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</si>
  <si>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</si>
  <si>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</si>
  <si>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</si>
  <si>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</si>
  <si>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</si>
  <si>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</si>
  <si>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</si>
  <si>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</si>
  <si>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</si>
  <si>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</si>
  <si>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</si>
  <si>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</si>
  <si>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</si>
  <si>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</si>
  <si>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</si>
  <si>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</si>
  <si>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</si>
  <si>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</si>
  <si>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</si>
  <si>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</si>
  <si>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</si>
  <si>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</si>
  <si>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</si>
  <si>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</si>
  <si>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</si>
  <si>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</si>
  <si>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</si>
  <si>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</si>
  <si>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</si>
  <si>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</si>
  <si>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</si>
  <si>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</si>
  <si>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</si>
  <si>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</si>
  <si>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</si>
  <si>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</si>
  <si>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</si>
  <si>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</si>
  <si>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</si>
  <si>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</si>
  <si>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</si>
  <si>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</si>
  <si>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</si>
  <si>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</si>
  <si>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</si>
  <si>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</si>
  <si>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</si>
  <si>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</si>
  <si>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</si>
  <si>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</si>
  <si>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</si>
  <si>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</si>
  <si>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</si>
  <si>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</si>
  <si>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</si>
  <si>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</si>
  <si>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</si>
  <si>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</si>
  <si>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</si>
  <si>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</si>
  <si>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</si>
  <si>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</si>
  <si>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</si>
  <si>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</si>
  <si>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</si>
  <si>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</si>
  <si>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</si>
  <si>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</si>
  <si>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</si>
  <si>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</si>
  <si>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</si>
  <si>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</si>
  <si>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</si>
  <si>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</si>
  <si>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</si>
  <si>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</si>
  <si>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</si>
  <si>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</si>
  <si>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</si>
  <si>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</si>
  <si>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</si>
  <si>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</si>
  <si>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</si>
  <si>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</si>
  <si>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</si>
  <si>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</si>
  <si>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</si>
  <si>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</si>
  <si>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</si>
  <si>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</si>
  <si>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</si>
  <si>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</si>
  <si>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</si>
  <si>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</si>
  <si>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</si>
  <si>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</si>
  <si>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</si>
  <si>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</si>
  <si>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</si>
  <si>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</si>
  <si>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</si>
  <si>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</si>
  <si>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</si>
  <si>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</si>
  <si>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</si>
  <si>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</si>
  <si>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</si>
  <si>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</si>
  <si>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</si>
  <si>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</si>
  <si>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</si>
  <si>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</si>
  <si>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</si>
  <si>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</si>
  <si>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</si>
  <si>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</si>
  <si>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</si>
  <si>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</si>
  <si>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</si>
  <si>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</si>
  <si>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</si>
  <si>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</si>
  <si>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</si>
  <si>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</si>
  <si>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</si>
  <si>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</si>
  <si>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</si>
  <si>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</si>
  <si>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</si>
  <si>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</si>
  <si>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</si>
  <si>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</si>
  <si>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</si>
  <si>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</si>
  <si>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</si>
  <si>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</si>
  <si>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</si>
  <si>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</si>
  <si>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</si>
  <si>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</si>
  <si>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</si>
  <si>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</si>
  <si>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</si>
  <si>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</si>
  <si>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</si>
  <si>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</si>
  <si>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</si>
  <si>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</si>
  <si>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</si>
  <si>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</si>
  <si>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</si>
  <si>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</si>
  <si>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</si>
  <si>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</si>
  <si>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</si>
  <si>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</si>
  <si>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</si>
  <si>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</si>
  <si>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</si>
  <si>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</si>
  <si>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</si>
  <si>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</si>
  <si>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</si>
  <si>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</si>
  <si>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</si>
  <si>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</si>
  <si>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</si>
  <si>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</si>
  <si>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</si>
  <si>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</si>
  <si>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</si>
  <si>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</si>
  <si>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</si>
  <si>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</si>
  <si>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</si>
  <si>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</si>
  <si>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</si>
  <si>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</si>
  <si>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</si>
  <si>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</si>
  <si>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</si>
  <si>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</si>
  <si>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</si>
  <si>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</si>
  <si>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</si>
  <si>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</si>
  <si>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</si>
  <si>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</si>
  <si>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</si>
  <si>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</si>
  <si>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</si>
  <si>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</si>
  <si>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</si>
  <si>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</si>
  <si>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</si>
  <si>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</si>
  <si>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</si>
  <si>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</si>
  <si>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</si>
  <si>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</si>
  <si>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</si>
  <si>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</si>
  <si>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</si>
  <si>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</si>
  <si>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</si>
  <si>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</si>
  <si>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</si>
  <si>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</si>
  <si>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</si>
  <si>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</si>
  <si>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</si>
  <si>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</si>
  <si>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</si>
  <si>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</si>
  <si>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</si>
  <si>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</si>
  <si>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</si>
  <si>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</si>
  <si>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</si>
  <si>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</si>
  <si>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</si>
  <si>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</si>
  <si>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</si>
  <si>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</si>
  <si>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</si>
  <si>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</si>
  <si>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</si>
  <si>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</si>
  <si>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</si>
  <si>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</si>
  <si>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</si>
  <si>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</si>
  <si>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</si>
  <si>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</si>
  <si>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</si>
  <si>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</si>
  <si>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</si>
  <si>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</si>
  <si>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</si>
  <si>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</si>
  <si>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</si>
  <si>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</si>
  <si>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</si>
  <si>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</si>
  <si>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</si>
  <si>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</si>
  <si>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</si>
  <si>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</si>
  <si>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</si>
  <si>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</si>
  <si>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</si>
  <si>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</si>
  <si>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</si>
  <si>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</si>
  <si>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</si>
  <si>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</si>
  <si>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</si>
  <si>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</si>
  <si>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</si>
  <si>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</si>
  <si>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</si>
  <si>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</si>
  <si>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</si>
  <si>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</si>
  <si>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</si>
  <si>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</si>
  <si>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</si>
  <si>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</si>
  <si>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</si>
  <si>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</si>
  <si>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</si>
  <si>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</si>
  <si>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</si>
  <si>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</si>
  <si>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</si>
  <si>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</si>
  <si>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</si>
  <si>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</si>
  <si>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</si>
  <si>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</si>
  <si>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</si>
  <si>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</si>
  <si>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</si>
  <si>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</si>
  <si>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</si>
  <si>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</si>
  <si>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</si>
  <si>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</si>
  <si>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</si>
  <si>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</si>
  <si>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</si>
  <si>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</si>
  <si>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</si>
  <si>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</si>
  <si>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</si>
  <si>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</si>
  <si>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</si>
  <si>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</si>
  <si>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</si>
  <si>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</si>
  <si>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</si>
  <si>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</si>
  <si>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</si>
  <si>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</si>
  <si>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</si>
  <si>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</si>
  <si>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</si>
  <si>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</si>
  <si>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</si>
  <si>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</si>
  <si>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</si>
  <si>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</si>
  <si>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</si>
  <si>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</si>
  <si>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</si>
  <si>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</si>
  <si>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</si>
  <si>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</si>
  <si>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</si>
  <si>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</si>
  <si>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</si>
  <si>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</si>
  <si>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</si>
  <si>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</si>
  <si>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</si>
  <si>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</si>
  <si>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</si>
  <si>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</si>
  <si>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</si>
  <si>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</si>
  <si>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</si>
  <si>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</si>
  <si>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</si>
  <si>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</si>
  <si>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</si>
  <si>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</si>
  <si>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</si>
  <si>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</si>
  <si>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</si>
  <si>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</si>
  <si>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</si>
  <si>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</si>
  <si>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</si>
  <si>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</si>
  <si>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</si>
  <si>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</si>
  <si>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</si>
  <si>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</si>
  <si>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</si>
  <si>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</si>
  <si>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</si>
  <si>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</si>
  <si>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</si>
  <si>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</si>
  <si>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</si>
  <si>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</si>
  <si>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</si>
  <si>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</si>
  <si>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</si>
  <si>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</si>
  <si>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</si>
  <si>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</si>
  <si>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</si>
  <si>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</si>
  <si>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</si>
  <si>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</si>
  <si>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</si>
  <si>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</si>
  <si>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</si>
  <si>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</si>
  <si>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</si>
  <si>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</si>
  <si>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</si>
  <si>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</si>
  <si>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</si>
  <si>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</si>
  <si>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</si>
  <si>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</si>
  <si>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</si>
  <si>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</si>
  <si>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</si>
  <si>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</si>
  <si>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</si>
  <si>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</si>
  <si>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</si>
  <si>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</si>
  <si>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</si>
  <si>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</si>
  <si>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</si>
  <si>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</si>
  <si>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</si>
  <si>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</si>
  <si>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</si>
  <si>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</si>
  <si>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</si>
  <si>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</si>
  <si>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</si>
  <si>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</si>
  <si>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</si>
  <si>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</si>
  <si>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</si>
  <si>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</si>
  <si>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</si>
  <si>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</si>
  <si>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</si>
  <si>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</si>
  <si>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</si>
  <si>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</si>
  <si>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</si>
  <si>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</si>
  <si>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</si>
  <si>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</si>
  <si>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</si>
  <si>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</si>
  <si>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</si>
  <si>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</si>
  <si>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</si>
  <si>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</si>
  <si>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</si>
  <si>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</si>
  <si>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</si>
  <si>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</si>
  <si>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</si>
  <si>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</si>
  <si>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</si>
  <si>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</si>
  <si>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</si>
  <si>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</si>
  <si>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</si>
  <si>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</si>
  <si>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</si>
  <si>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</si>
  <si>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</si>
  <si>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</si>
  <si>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</si>
  <si>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</si>
  <si>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</si>
  <si>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</si>
  <si>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</si>
  <si>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</si>
  <si>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</si>
  <si>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</si>
  <si>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</si>
  <si>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</si>
  <si>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</si>
  <si>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</si>
  <si>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</si>
  <si>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</si>
  <si>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</si>
  <si>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</si>
  <si>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</si>
  <si>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</si>
  <si>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</si>
  <si>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</si>
  <si>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</si>
  <si>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</si>
  <si>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</si>
  <si>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</si>
  <si>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</si>
  <si>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</si>
  <si>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</si>
  <si>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</si>
  <si>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</si>
  <si>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</si>
  <si>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</si>
  <si>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</si>
  <si>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</si>
  <si>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</si>
  <si>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</si>
  <si>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</si>
  <si>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</si>
  <si>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</si>
  <si>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</si>
  <si>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</si>
  <si>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</si>
  <si>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</si>
  <si>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</si>
  <si>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</si>
  <si>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</si>
  <si>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</si>
  <si>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</si>
  <si>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</si>
  <si>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</si>
  <si>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</si>
  <si>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</si>
  <si>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</si>
  <si>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</si>
  <si>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</si>
  <si>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</si>
  <si>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</si>
  <si>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</si>
  <si>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</si>
  <si>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</si>
  <si>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</si>
  <si>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</si>
  <si>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</si>
  <si>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</si>
  <si>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</si>
  <si>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</si>
  <si>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</si>
  <si>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</si>
  <si>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</si>
  <si>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</si>
  <si>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</si>
  <si>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</si>
  <si>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</si>
  <si>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</si>
  <si>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</si>
  <si>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</si>
  <si>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</si>
  <si>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</si>
  <si>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</si>
  <si>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</si>
  <si>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</si>
  <si>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</si>
  <si>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</si>
  <si>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</si>
  <si>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</si>
  <si>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</si>
  <si>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</si>
  <si>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</si>
  <si>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</si>
  <si>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</si>
  <si>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</si>
  <si>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</si>
  <si>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</si>
  <si>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</si>
  <si>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</si>
  <si>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</si>
  <si>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</si>
  <si>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</si>
  <si>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</si>
  <si>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</si>
  <si>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</si>
  <si>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</si>
  <si>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</si>
  <si>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</si>
  <si>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</si>
  <si>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</si>
  <si>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</si>
  <si>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</si>
  <si>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</si>
  <si>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</si>
  <si>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</si>
  <si>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</si>
  <si>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</si>
  <si>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</si>
  <si>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</si>
  <si>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</si>
  <si>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</si>
  <si>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</si>
  <si>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</si>
  <si>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</si>
  <si>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</si>
  <si>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</si>
  <si>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</si>
  <si>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</si>
  <si>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</si>
  <si>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</si>
  <si>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</si>
  <si>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</si>
  <si>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</si>
  <si>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</si>
  <si>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</si>
  <si>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</si>
  <si>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</si>
  <si>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</si>
  <si>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</si>
  <si>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</si>
  <si>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</si>
  <si>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</si>
  <si>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</si>
  <si>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</si>
  <si>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</si>
  <si>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</si>
  <si>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</si>
  <si>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</si>
  <si>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</si>
  <si>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</si>
  <si>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</si>
  <si>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</si>
  <si>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</si>
  <si>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</si>
  <si>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</si>
  <si>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</si>
  <si>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</si>
  <si>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</si>
  <si>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</si>
  <si>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</si>
  <si>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</si>
  <si>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</si>
  <si>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</si>
  <si>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</si>
  <si>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</si>
  <si>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</si>
  <si>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</si>
  <si>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</si>
  <si>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</si>
  <si>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</si>
  <si>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</si>
  <si>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</si>
  <si>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</si>
  <si>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</si>
  <si>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</si>
  <si>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</si>
  <si>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</si>
  <si>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</si>
  <si>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</si>
  <si>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</si>
  <si>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</si>
  <si>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</si>
  <si>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</si>
  <si>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</si>
  <si>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</si>
  <si>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</si>
  <si>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</si>
  <si>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</si>
  <si>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</si>
  <si>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</si>
  <si>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</si>
  <si>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</si>
  <si>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</si>
  <si>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</si>
  <si>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</si>
  <si>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</si>
  <si>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</si>
  <si>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</si>
  <si>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</si>
  <si>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</si>
  <si>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</si>
  <si>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</si>
  <si>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</si>
  <si>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</si>
  <si>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</si>
  <si>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</si>
  <si>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</si>
  <si>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</si>
  <si>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</si>
  <si>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</si>
  <si>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</si>
  <si>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</si>
  <si>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</si>
  <si>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</si>
  <si>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</si>
  <si>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</si>
  <si>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</si>
  <si>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</si>
  <si>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</si>
  <si>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</si>
  <si>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</si>
  <si>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</si>
  <si>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</si>
  <si>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</si>
  <si>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</si>
  <si>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</si>
  <si>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</si>
  <si>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</si>
  <si>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</si>
  <si>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</si>
  <si>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</si>
  <si>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</si>
  <si>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</si>
  <si>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</si>
  <si>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</si>
  <si>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</si>
  <si>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</si>
  <si>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</si>
  <si>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</si>
  <si>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</si>
  <si>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</si>
  <si>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</si>
  <si>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</si>
  <si>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</si>
  <si>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</si>
  <si>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</si>
  <si>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</si>
  <si>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</si>
  <si>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</si>
  <si>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</si>
  <si>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</si>
  <si>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</si>
  <si>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</si>
  <si>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</si>
  <si>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</si>
  <si>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</si>
  <si>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</si>
  <si>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</si>
  <si>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</si>
  <si>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</si>
  <si>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</si>
  <si>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</si>
  <si>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</si>
  <si>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</si>
  <si>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</si>
  <si>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</si>
  <si>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</si>
  <si>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</si>
  <si>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</si>
  <si>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</si>
  <si>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</si>
  <si>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</si>
  <si>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</si>
  <si>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</si>
  <si>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</si>
  <si>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</si>
  <si>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</si>
  <si>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</si>
  <si>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</si>
  <si>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</si>
  <si>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</si>
  <si>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</si>
  <si>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</si>
  <si>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</si>
  <si>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</si>
  <si>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</si>
  <si>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</si>
  <si>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</si>
  <si>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</si>
  <si>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</si>
  <si>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</si>
  <si>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</si>
  <si>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</si>
  <si>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</si>
  <si>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</si>
  <si>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</si>
  <si>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</si>
  <si>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</si>
  <si>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</si>
  <si>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</si>
  <si>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</si>
  <si>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</si>
  <si>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</si>
  <si>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</si>
  <si>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</si>
  <si>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</si>
  <si>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</si>
  <si>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</si>
  <si>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</si>
  <si>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</si>
  <si>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</si>
  <si>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</si>
  <si>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</si>
  <si>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</si>
  <si>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</si>
  <si>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</si>
  <si>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</si>
  <si>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</si>
  <si>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</si>
  <si>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</si>
  <si>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</si>
  <si>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</si>
  <si>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</si>
  <si>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</si>
  <si>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</si>
  <si>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</si>
  <si>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</si>
  <si>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</si>
  <si>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</si>
  <si>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</si>
  <si>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</si>
  <si>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</si>
  <si>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</si>
  <si>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</si>
  <si>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</si>
  <si>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</si>
  <si>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</si>
  <si>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</si>
  <si>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</si>
  <si>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</si>
  <si>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</si>
  <si>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</si>
  <si>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</si>
  <si>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</si>
  <si>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</si>
  <si>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</si>
  <si>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</si>
  <si>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</si>
  <si>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</si>
  <si>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</si>
  <si>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</si>
  <si>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</si>
  <si>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</si>
  <si>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</si>
  <si>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</si>
  <si>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</si>
  <si>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</si>
  <si>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</si>
  <si>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</si>
  <si>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</si>
  <si>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</si>
  <si>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</si>
  <si>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</si>
  <si>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</si>
  <si>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</si>
  <si>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</si>
  <si>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</si>
  <si>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</si>
  <si>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</si>
  <si>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</si>
  <si>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</si>
  <si>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</si>
  <si>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</si>
  <si>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</si>
  <si>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</si>
  <si>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</si>
  <si>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</si>
  <si>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</si>
  <si>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</si>
  <si>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</si>
  <si>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</si>
  <si>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</si>
  <si>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</si>
  <si>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</si>
  <si>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</si>
  <si>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</si>
  <si>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</si>
  <si>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</si>
  <si>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</si>
  <si>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</si>
  <si>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</si>
  <si>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</si>
  <si>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</si>
  <si>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</si>
  <si>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</si>
  <si>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</si>
  <si>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</si>
  <si>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</si>
  <si>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</si>
  <si>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</si>
  <si>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</si>
  <si>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</si>
  <si>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</si>
  <si>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</si>
  <si>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</si>
  <si>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</si>
  <si>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</si>
  <si>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</si>
  <si>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</si>
  <si>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</si>
  <si>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</si>
  <si>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</si>
  <si>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</si>
  <si>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</si>
  <si>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</si>
  <si>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</si>
  <si>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</si>
  <si>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</si>
  <si>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</si>
  <si>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</si>
  <si>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</si>
  <si>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</si>
  <si>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</si>
  <si>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</si>
  <si>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</si>
  <si>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</si>
  <si>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</si>
  <si>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</si>
  <si>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</si>
  <si>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</si>
  <si>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</si>
  <si>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</si>
  <si>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</si>
  <si>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</si>
  <si>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</si>
  <si>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</si>
  <si>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</si>
  <si>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</si>
  <si>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</si>
  <si>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</si>
  <si>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</si>
  <si>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</si>
  <si>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</si>
  <si>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</si>
  <si>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</si>
  <si>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</si>
  <si>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</si>
  <si>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</si>
  <si>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</si>
  <si>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</si>
  <si>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</si>
  <si>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</si>
  <si>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</si>
  <si>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</si>
  <si>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</si>
  <si>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</si>
  <si>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</si>
  <si>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</si>
  <si>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</si>
  <si>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</si>
  <si>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</si>
  <si>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</si>
  <si>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</si>
  <si>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</si>
  <si>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</si>
  <si>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</si>
  <si>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</si>
  <si>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</si>
  <si>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</si>
  <si>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</si>
  <si>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</si>
  <si>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</si>
  <si>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</si>
  <si>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</si>
  <si>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</si>
  <si>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</si>
  <si>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</si>
  <si>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</si>
  <si>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</si>
  <si>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</si>
  <si>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</si>
  <si>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</si>
  <si>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</si>
  <si>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</si>
  <si>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</si>
  <si>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</si>
  <si>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</si>
  <si>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</si>
  <si>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</si>
  <si>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</si>
  <si>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</si>
  <si>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</si>
  <si>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</si>
  <si>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</si>
  <si>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</si>
  <si>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</si>
  <si>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</si>
  <si>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</si>
  <si>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</si>
  <si>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</si>
  <si>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</si>
  <si>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</si>
  <si>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</si>
  <si>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</si>
  <si>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</si>
  <si>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</si>
  <si>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</si>
  <si>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</si>
  <si>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</si>
  <si>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</si>
  <si>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</si>
  <si>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</si>
  <si>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</si>
  <si>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</si>
  <si>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</si>
  <si>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</si>
  <si>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</si>
  <si>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</si>
  <si>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</si>
  <si>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</si>
  <si>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</si>
  <si>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</si>
  <si>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</si>
  <si>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</si>
  <si>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</si>
  <si>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</si>
  <si>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</si>
  <si>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</si>
  <si>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</si>
  <si>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</si>
  <si>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</si>
  <si>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</si>
  <si>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</si>
  <si>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</si>
  <si>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</si>
  <si>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</si>
  <si>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</si>
  <si>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</si>
  <si>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</si>
  <si>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</si>
  <si>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</si>
  <si>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</si>
  <si>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</si>
  <si>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</si>
  <si>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</si>
  <si>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</si>
  <si>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</si>
  <si>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</si>
  <si>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</si>
  <si>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</si>
  <si>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</si>
  <si>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</si>
  <si>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</si>
  <si>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</si>
  <si>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</si>
  <si>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</si>
  <si>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</si>
  <si>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</si>
  <si>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</si>
  <si>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</si>
  <si>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</si>
  <si>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</si>
  <si>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</si>
  <si>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</si>
  <si>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</si>
  <si>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</si>
  <si>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</si>
  <si>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</si>
  <si>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</si>
  <si>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</si>
  <si>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</si>
  <si>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</si>
  <si>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</si>
  <si>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</si>
  <si>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</si>
  <si>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</si>
  <si>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</si>
  <si>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</si>
  <si>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</si>
  <si>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</si>
  <si>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</si>
  <si>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</si>
  <si>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</si>
  <si>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</si>
  <si>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</si>
  <si>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</si>
  <si>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</si>
  <si>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</si>
  <si>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</si>
  <si>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</si>
  <si>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</si>
  <si>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</si>
  <si>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</si>
  <si>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</si>
  <si>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</si>
  <si>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</si>
  <si>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</si>
  <si>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</si>
  <si>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</si>
  <si>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</si>
  <si>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</si>
  <si>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</si>
  <si>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</si>
  <si>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</si>
  <si>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</si>
  <si>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</si>
  <si>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</si>
  <si>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</si>
  <si>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</si>
  <si>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</si>
  <si>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</si>
  <si>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</si>
  <si>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</si>
  <si>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</si>
  <si>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</si>
  <si>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</si>
  <si>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</si>
  <si>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</si>
  <si>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</si>
  <si>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</si>
  <si>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</si>
  <si>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</si>
  <si>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</si>
  <si>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</si>
  <si>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</si>
  <si>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</si>
  <si>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</si>
  <si>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</si>
  <si>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</si>
  <si>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</si>
  <si>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</si>
  <si>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</si>
  <si>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</si>
  <si>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</si>
  <si>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</si>
  <si>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</si>
  <si>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</si>
  <si>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</si>
  <si>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</si>
  <si>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</si>
  <si>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</si>
  <si>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</si>
  <si>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</si>
  <si>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</si>
  <si>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</si>
  <si>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</si>
  <si>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</si>
  <si>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</si>
  <si>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</si>
  <si>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</si>
  <si>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</si>
  <si>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</si>
  <si>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</si>
  <si>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</si>
  <si>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</si>
  <si>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</si>
  <si>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</si>
  <si>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</si>
  <si>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</si>
  <si>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</si>
  <si>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</si>
  <si>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</si>
  <si>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</si>
  <si>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</si>
  <si>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</si>
  <si>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</si>
  <si>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</si>
  <si>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</si>
  <si>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</si>
  <si>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</si>
  <si>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</si>
  <si>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</si>
  <si>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</si>
  <si>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</si>
  <si>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</si>
  <si>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</si>
  <si>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</si>
  <si>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</si>
  <si>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</si>
  <si>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</si>
  <si>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</si>
  <si>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</si>
  <si>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</si>
  <si>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</si>
  <si>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</si>
  <si>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</si>
  <si>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</si>
  <si>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</si>
  <si>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</si>
  <si>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</si>
  <si>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</si>
  <si>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</si>
  <si>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</si>
  <si>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</si>
  <si>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</si>
  <si>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</si>
  <si>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</si>
  <si>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</si>
  <si>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</si>
  <si>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</si>
  <si>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</si>
  <si>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</si>
  <si>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</si>
  <si>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</si>
  <si>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</si>
  <si>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</si>
  <si>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</si>
  <si>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</si>
  <si>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</si>
  <si>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</si>
  <si>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</si>
  <si>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</si>
  <si>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</si>
  <si>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</si>
  <si>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</si>
  <si>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</si>
  <si>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</si>
  <si>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</si>
  <si>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</si>
  <si>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</si>
  <si>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</si>
  <si>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</si>
  <si>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</si>
  <si>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</si>
  <si>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</si>
  <si>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</si>
  <si>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</si>
  <si>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</si>
  <si>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</si>
  <si>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</si>
  <si>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</si>
  <si>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</si>
  <si>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</si>
  <si>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</si>
  <si>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</si>
  <si>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</si>
  <si>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</si>
  <si>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</si>
  <si>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</si>
  <si>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</si>
  <si>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</si>
  <si>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</si>
  <si>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</si>
  <si>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</si>
  <si>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</si>
  <si>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</si>
  <si>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</si>
  <si>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</si>
  <si>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</si>
  <si>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</si>
  <si>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</si>
  <si>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</si>
  <si>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</si>
  <si>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</si>
  <si>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</si>
  <si>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</si>
  <si>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</si>
  <si>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</si>
  <si>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</si>
  <si>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</si>
  <si>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</si>
  <si>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</si>
  <si>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</si>
  <si>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</si>
  <si>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</si>
  <si>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</si>
  <si>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</si>
  <si>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</si>
  <si>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</si>
  <si>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</si>
  <si>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</si>
  <si>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</si>
  <si>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</si>
  <si>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</si>
  <si>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</si>
  <si>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</si>
  <si>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</si>
  <si>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</si>
  <si>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</si>
  <si>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</si>
  <si>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</si>
  <si>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</si>
  <si>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</si>
  <si>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</si>
  <si>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</si>
  <si>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</si>
  <si>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</si>
  <si>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</si>
  <si>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</si>
  <si>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</si>
  <si>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</si>
  <si>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</si>
  <si>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</si>
  <si>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</si>
  <si>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</si>
  <si>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</si>
  <si>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</si>
  <si>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</si>
  <si>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</si>
  <si>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</si>
  <si>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</si>
  <si>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</si>
  <si>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</si>
  <si>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</si>
  <si>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</si>
  <si>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</si>
  <si>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</si>
  <si>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</si>
  <si>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</si>
  <si>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</si>
  <si>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</si>
  <si>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</si>
  <si>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</si>
  <si>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</si>
  <si>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</si>
  <si>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</si>
  <si>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</si>
  <si>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</si>
  <si>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</si>
  <si>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</si>
  <si>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</si>
  <si>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</si>
  <si>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</si>
  <si>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</si>
  <si>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</si>
  <si>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</si>
  <si>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</si>
  <si>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</si>
  <si>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</si>
  <si>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</si>
  <si>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</si>
  <si>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</si>
  <si>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</si>
  <si>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</si>
  <si>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</si>
  <si>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</si>
  <si>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</si>
  <si>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</si>
  <si>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</si>
  <si>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</si>
  <si>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</si>
  <si>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</si>
  <si>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</si>
  <si>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</si>
  <si>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</si>
  <si>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</si>
  <si>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</si>
  <si>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</si>
  <si>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</si>
  <si>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</si>
  <si>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</si>
  <si>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</si>
  <si>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</si>
  <si>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</si>
  <si>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</si>
  <si>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</si>
  <si>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</si>
  <si>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</si>
  <si>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</si>
  <si>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</si>
  <si>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</si>
  <si>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</si>
  <si>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</si>
  <si>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</si>
  <si>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</si>
  <si>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</si>
  <si>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</si>
  <si>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</si>
  <si>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</si>
  <si>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</si>
  <si>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</si>
  <si>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</si>
  <si>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</si>
  <si>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</si>
  <si>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</si>
  <si>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</si>
  <si>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</si>
  <si>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</si>
  <si>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</si>
  <si>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</si>
  <si>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</si>
  <si>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</si>
  <si>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</si>
  <si>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</si>
  <si>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</si>
  <si>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</si>
  <si>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</si>
  <si>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</si>
  <si>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</si>
  <si>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</si>
  <si>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</si>
  <si>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</si>
  <si>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</si>
  <si>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</si>
  <si>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</si>
  <si>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</si>
  <si>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</si>
  <si>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</si>
  <si>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</si>
  <si>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</si>
  <si>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</si>
  <si>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</si>
  <si>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</si>
  <si>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</si>
  <si>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</si>
  <si>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</si>
  <si>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</si>
  <si>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</si>
  <si>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</si>
  <si>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</si>
  <si>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</si>
  <si>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</si>
  <si>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</si>
  <si>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</si>
  <si>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</si>
  <si>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</si>
  <si>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</si>
  <si>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</si>
  <si>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</si>
  <si>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</si>
  <si>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</si>
  <si>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</si>
  <si>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</si>
  <si>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</si>
  <si>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</si>
  <si>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</si>
  <si>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</si>
  <si>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</si>
  <si>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</si>
  <si>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</si>
  <si>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</si>
  <si>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</si>
  <si>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</si>
  <si>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</si>
  <si>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</si>
  <si>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</si>
  <si>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</si>
  <si>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</si>
  <si>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</si>
  <si>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</si>
  <si>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</si>
  <si>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</si>
  <si>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</si>
  <si>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</si>
  <si>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</si>
  <si>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</si>
  <si>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</si>
  <si>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</si>
  <si>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</si>
  <si>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</si>
  <si>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</si>
  <si>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</si>
  <si>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</si>
  <si>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</si>
  <si>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</si>
  <si>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</si>
  <si>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</si>
  <si>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</si>
  <si>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</si>
  <si>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</si>
  <si>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</si>
  <si>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</si>
  <si>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</si>
  <si>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</si>
  <si>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</si>
  <si>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</si>
  <si>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</si>
  <si>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</si>
  <si>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</si>
  <si>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</si>
  <si>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</si>
  <si>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</si>
  <si>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</si>
  <si>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</si>
  <si>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</si>
  <si>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</si>
  <si>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</si>
  <si>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</si>
  <si>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</si>
  <si>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</si>
  <si>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</si>
  <si>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</si>
  <si>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</si>
  <si>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</si>
  <si>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</si>
  <si>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</si>
  <si>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</si>
  <si>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</si>
  <si>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</si>
  <si>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</si>
  <si>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</si>
  <si>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</si>
  <si>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</si>
  <si>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</si>
  <si>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</si>
  <si>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</si>
  <si>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</si>
  <si>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</si>
  <si>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</si>
  <si>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</si>
  <si>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</si>
  <si>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</si>
  <si>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</si>
  <si>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</si>
  <si>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</si>
  <si>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</si>
  <si>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</si>
  <si>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</si>
  <si>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</si>
  <si>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</si>
  <si>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</si>
  <si>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</si>
  <si>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</si>
  <si>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</si>
  <si>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</si>
  <si>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</si>
  <si>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</si>
  <si>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</si>
  <si>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</si>
  <si>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</si>
  <si>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</si>
  <si>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</si>
  <si>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</si>
  <si>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</si>
  <si>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</si>
  <si>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</si>
  <si>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</si>
  <si>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</si>
  <si>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</si>
  <si>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</si>
  <si>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</si>
  <si>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</si>
  <si>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</si>
  <si>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</si>
  <si>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</si>
  <si>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</si>
  <si>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</si>
  <si>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</si>
  <si>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</si>
  <si>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</si>
  <si>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</si>
  <si>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</si>
  <si>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</si>
  <si>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</si>
  <si>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</si>
  <si>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</si>
  <si>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</si>
  <si>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</si>
  <si>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</si>
  <si>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</si>
  <si>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</si>
  <si>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</si>
  <si>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</si>
  <si>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</si>
  <si>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</si>
  <si>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</si>
  <si>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</si>
  <si>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</si>
  <si>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</si>
  <si>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</si>
  <si>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</si>
  <si>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</si>
  <si>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</si>
  <si>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</si>
  <si>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</si>
  <si>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</si>
  <si>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</si>
  <si>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</si>
  <si>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</si>
  <si>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</si>
  <si>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</si>
  <si>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</si>
  <si>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</si>
  <si>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</si>
  <si>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</si>
  <si>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</si>
  <si>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</si>
  <si>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</si>
  <si>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</si>
  <si>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</si>
  <si>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</si>
  <si>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</si>
  <si>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</si>
  <si>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</si>
  <si>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</si>
  <si>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</si>
  <si>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</si>
  <si>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</si>
  <si>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</si>
  <si>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</si>
  <si>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</si>
  <si>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</si>
  <si>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</si>
  <si>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</si>
  <si>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</si>
  <si>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</si>
  <si>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</si>
  <si>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</si>
  <si>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</si>
  <si>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</si>
  <si>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</si>
  <si>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</si>
  <si>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</si>
  <si>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</si>
  <si>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</si>
  <si>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</si>
  <si>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</si>
  <si>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</si>
  <si>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</si>
  <si>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</si>
  <si>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</si>
  <si>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</si>
  <si>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</si>
  <si>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</si>
  <si>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</si>
  <si>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</si>
  <si>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</si>
  <si>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</si>
  <si>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</si>
  <si>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</si>
  <si>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</si>
  <si>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</si>
  <si>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</si>
  <si>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</si>
  <si>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</si>
  <si>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</si>
  <si>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</si>
  <si>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</si>
  <si>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</si>
  <si>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</si>
  <si>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</si>
  <si>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</si>
  <si>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</si>
  <si>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</si>
  <si>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</si>
  <si>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</si>
  <si>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</si>
  <si>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</si>
  <si>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</si>
  <si>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</si>
  <si>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</si>
  <si>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</si>
  <si>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</si>
  <si>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</si>
  <si>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</si>
  <si>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</si>
  <si>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</si>
  <si>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</si>
  <si>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</si>
  <si>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</si>
  <si>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</si>
  <si>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</si>
  <si>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</si>
  <si>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</si>
  <si>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</si>
  <si>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</si>
  <si>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</si>
  <si>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</si>
  <si>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</si>
  <si>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</si>
  <si>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</si>
  <si>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</si>
  <si>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</si>
  <si>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</si>
  <si>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</si>
  <si>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</si>
  <si>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</si>
  <si>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</si>
  <si>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</si>
  <si>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</si>
  <si>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</si>
  <si>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</si>
  <si>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</si>
  <si>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</si>
  <si>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</si>
  <si>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</si>
  <si>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</si>
  <si>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</si>
  <si>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</si>
  <si>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</si>
  <si>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</si>
  <si>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</si>
  <si>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</si>
  <si>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</si>
  <si>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</si>
  <si>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</si>
  <si>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</si>
  <si>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</si>
  <si>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</si>
  <si>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</si>
  <si>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</si>
  <si>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</si>
  <si>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</si>
  <si>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</si>
  <si>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</si>
  <si>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</si>
  <si>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</si>
  <si>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</si>
  <si>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</si>
  <si>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</si>
  <si>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</si>
  <si>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</si>
  <si>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</si>
  <si>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</si>
  <si>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</si>
  <si>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</si>
  <si>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</si>
  <si>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</si>
  <si>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</si>
  <si>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</si>
  <si>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</si>
  <si>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</si>
  <si>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</si>
  <si>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</si>
  <si>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</si>
  <si>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</si>
  <si>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</si>
  <si>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</si>
  <si>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</si>
  <si>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</si>
  <si>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</si>
  <si>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</si>
  <si>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</si>
  <si>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</si>
  <si>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</si>
  <si>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</si>
  <si>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</si>
  <si>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</si>
  <si>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</si>
  <si>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</si>
  <si>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</si>
  <si>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</si>
  <si>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</si>
  <si>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</si>
  <si>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</si>
  <si>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</si>
  <si>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</si>
  <si>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</si>
  <si>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</si>
  <si>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</si>
  <si>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</si>
  <si>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</si>
  <si>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</si>
  <si>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</si>
  <si>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</si>
  <si>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</si>
  <si>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</si>
  <si>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</si>
  <si>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</si>
  <si>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</si>
  <si>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</si>
  <si>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</si>
  <si>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</si>
  <si>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</si>
  <si>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</si>
  <si>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</si>
  <si>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</si>
  <si>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</si>
  <si>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</si>
  <si>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</si>
  <si>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</si>
  <si>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</si>
  <si>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</si>
  <si>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</si>
  <si>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</si>
  <si>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</si>
  <si>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</si>
  <si>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</si>
  <si>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</si>
  <si>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</si>
  <si>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</si>
  <si>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</si>
  <si>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</si>
  <si>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</si>
  <si>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</si>
  <si>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</si>
  <si>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</si>
  <si>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</si>
  <si>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</si>
  <si>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</si>
  <si>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</si>
  <si>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</si>
  <si>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</si>
  <si>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</si>
  <si>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</si>
  <si>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</si>
  <si>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</si>
  <si>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</si>
  <si>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</si>
  <si>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</si>
  <si>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</si>
  <si>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</si>
  <si>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</si>
  <si>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</si>
  <si>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</si>
  <si>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</si>
  <si>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</si>
  <si>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</si>
  <si>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</si>
  <si>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</si>
  <si>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</si>
  <si>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</si>
  <si>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</si>
  <si>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</si>
  <si>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</si>
  <si>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</si>
  <si>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</si>
  <si>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</si>
  <si>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</si>
  <si>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</si>
  <si>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</si>
  <si>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</si>
  <si>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</si>
  <si>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</si>
  <si>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</si>
  <si>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</si>
  <si>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</si>
  <si>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</si>
  <si>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</si>
  <si>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</si>
  <si>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</si>
  <si>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</si>
  <si>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</si>
  <si>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</si>
  <si>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</si>
  <si>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</si>
  <si>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</si>
  <si>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</si>
  <si>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</si>
  <si>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</si>
  <si>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</si>
  <si>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</si>
  <si>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</si>
  <si>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</si>
  <si>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</si>
  <si>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</si>
  <si>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</si>
  <si>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</si>
  <si>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</si>
  <si>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</si>
  <si>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</si>
  <si>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</si>
  <si>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</si>
  <si>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</si>
  <si>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</si>
  <si>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</si>
  <si>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</si>
  <si>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</si>
  <si>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</si>
  <si>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</si>
  <si>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</si>
  <si>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</si>
  <si>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</si>
  <si>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</si>
  <si>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</si>
  <si>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</si>
  <si>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</si>
  <si>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</si>
  <si>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</si>
  <si>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</si>
  <si>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</si>
  <si>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</si>
  <si>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</si>
  <si>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</si>
  <si>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</si>
  <si>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</si>
  <si>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</si>
  <si>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</si>
  <si>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</si>
  <si>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</si>
  <si>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</si>
  <si>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</si>
  <si>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</si>
  <si>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</si>
  <si>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</si>
  <si>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</si>
  <si>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</si>
  <si>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</si>
  <si>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</si>
  <si>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</si>
  <si>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</si>
  <si>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</si>
  <si>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</si>
  <si>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</si>
  <si>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</si>
  <si>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</si>
  <si>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</si>
  <si>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</si>
  <si>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</si>
  <si>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</si>
  <si>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</si>
  <si>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</si>
  <si>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</si>
  <si>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</si>
  <si>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</si>
  <si>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</si>
  <si>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</si>
  <si>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</si>
  <si>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</si>
  <si>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</si>
  <si>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</si>
  <si>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</si>
  <si>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</si>
  <si>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</si>
  <si>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</si>
  <si>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</si>
  <si>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</si>
  <si>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</si>
  <si>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</si>
  <si>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</si>
  <si>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</si>
  <si>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</si>
  <si>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</si>
  <si>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</si>
  <si>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</si>
  <si>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</si>
  <si>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</si>
  <si>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</si>
  <si>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</si>
  <si>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</si>
  <si>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</si>
  <si>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</si>
  <si>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</si>
  <si>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</si>
  <si>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</si>
  <si>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</si>
  <si>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</si>
  <si>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</si>
  <si>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</si>
  <si>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</si>
  <si>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</si>
  <si>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</si>
  <si>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</si>
  <si>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</si>
  <si>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</si>
  <si>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</si>
  <si>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</si>
  <si>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</si>
  <si>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</si>
  <si>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</si>
  <si>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</si>
  <si>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</si>
  <si>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</si>
  <si>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</si>
  <si>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</si>
  <si>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</si>
  <si>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</si>
  <si>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</si>
  <si>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</si>
  <si>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</si>
  <si>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</si>
  <si>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</si>
  <si>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</si>
  <si>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</si>
  <si>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</si>
  <si>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</si>
  <si>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</si>
  <si>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</si>
  <si>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</si>
  <si>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</si>
  <si>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</si>
  <si>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</si>
  <si>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</si>
  <si>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</si>
  <si>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</si>
  <si>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</si>
  <si>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</si>
  <si>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</si>
  <si>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</si>
  <si>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</si>
  <si>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</si>
  <si>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</si>
  <si>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</si>
  <si>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</si>
  <si>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</si>
  <si>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</si>
  <si>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</si>
  <si>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</si>
  <si>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</si>
  <si>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</si>
  <si>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</si>
  <si>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</si>
  <si>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</si>
  <si>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</si>
  <si>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</si>
  <si>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</si>
  <si>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</si>
  <si>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</si>
  <si>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</si>
  <si>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</si>
  <si>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</si>
  <si>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</si>
  <si>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</si>
  <si>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</si>
  <si>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</si>
  <si>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</si>
  <si>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</si>
  <si>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</si>
  <si>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</si>
  <si>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</si>
  <si>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</si>
  <si>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</si>
  <si>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</si>
  <si>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</si>
  <si>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</si>
  <si>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</si>
  <si>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</si>
  <si>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</si>
  <si>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</si>
  <si>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</si>
  <si>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</si>
  <si>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</si>
  <si>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</si>
  <si>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Column Labels</t>
  </si>
  <si>
    <t>Female</t>
  </si>
  <si>
    <t>Male</t>
  </si>
  <si>
    <t>Other</t>
  </si>
  <si>
    <t>Unknown</t>
  </si>
  <si>
    <t>Sum of Amount</t>
  </si>
  <si>
    <t>matrix</t>
  </si>
  <si>
    <t>Count of TX ID</t>
  </si>
  <si>
    <t>Sum of Quantity</t>
  </si>
  <si>
    <t>Average of Rating C</t>
  </si>
  <si>
    <t>Average of Days to Deliver</t>
  </si>
  <si>
    <t>Values for Display</t>
  </si>
  <si>
    <t>Qty</t>
  </si>
  <si>
    <t>Amt</t>
  </si>
  <si>
    <t>Avg Rating</t>
  </si>
  <si>
    <t>Avg Days to Deliver</t>
  </si>
  <si>
    <t>For trends</t>
  </si>
  <si>
    <t>How cutomers like to buy</t>
  </si>
  <si>
    <t>Fe</t>
  </si>
  <si>
    <t>Ma</t>
  </si>
  <si>
    <t>Oth</t>
  </si>
  <si>
    <t>Unk</t>
  </si>
  <si>
    <t>Qty distribution analysis</t>
  </si>
  <si>
    <t>More than 10</t>
  </si>
  <si>
    <t>6 to 10</t>
  </si>
  <si>
    <t>Most popular producs</t>
  </si>
  <si>
    <t>Gender makeup  of producs sold</t>
  </si>
  <si>
    <t>Qty and Sum by State and County</t>
  </si>
  <si>
    <t>map stuff</t>
  </si>
  <si>
    <t xml:space="preserve">State </t>
  </si>
  <si>
    <t>Shipmment duration</t>
  </si>
  <si>
    <t>Customer Satisfaction</t>
  </si>
  <si>
    <t>Jan</t>
  </si>
  <si>
    <t>Feb</t>
  </si>
  <si>
    <t>Mar</t>
  </si>
  <si>
    <t>For Trends</t>
  </si>
  <si>
    <t>How cutomers like to buy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</si>
</sst>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3" x14ac:knownFonts="1">
    <font>
      <sz val="11"/>
      <color theme="1"/>
      <name val="Aptos Narrow"/>
      <family val="2"/>
      <scheme val="minor"/>
    </font>
    <font>
      <b/>
      <sz val="11"/>
      <color theme="1"/>
      <name val="Aptos Narrow"/>
      <family val="2"/>
      <scheme val="minor"/>
    </font>
    <font>
      <sz val="18"/>
      <color theme="1"/>
      <name val="Aptos Narrow"/>
      <family val="2"/>
    </font>
  </fonts>
  <fills count="3">
    <fill>
      <patternFill patternType="none"/>
    </fill>
    <fill>
      <patternFill patternType="gray125"/>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2" fillId="0" borderId="0" xfId="0" applyFont="1"/>
    <xf numFmtId="165" fontId="0" fillId="0" borderId="0" xfId="0" applyNumberFormat="1"/>
    <xf numFmtId="0" fontId="1" fillId="0" borderId="0" xfId="0" applyFont="1"/>
    <xf numFmtId="0" fontId="1" fillId="0" borderId="1" xfId="0" applyFont="1" applyBorder="1"/>
  </cellXfs>
  <cellStyles count="1">
    <cellStyle name="Normal" xfId="0" builtinId="0"/>
  </cellStyles>
  <dxfs count="7">
    <dxf>
      <numFmt numFmtId="0" formatCode="General"/>
    </dxf>
    <dxf>
      <numFmt numFmtId="0" formatCode="General"/>
    </dxf>
    <dxf>
      <numFmt numFmtId="0" formatCode="General"/>
    </dxf>
    <dxf>
      <numFmt numFmtId="20" formatCode="d\-mmm\-yy"/>
    </dxf>
    <dxf>
      <numFmt numFmtId="20" formatCode="d\-mmm\-yy"/>
    </dxf>
    <dxf>
      <numFmt numFmtId="165" formatCode="&quot;$&quot;#,##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[viv_calif_ecommerce-dashboard.xlsx]Pivots!pvtTrends(week)</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 trends - Quantity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Quantity</c:v>
                </c:pt>
              </c:strCache>
            </c:strRef>
          </c:tx>
          <c:spPr>
            <a:ln w="28575" cap="rnd">
              <a:solidFill>
                <a:schemeClr val="accent2"/>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4C2-4008-AC05-9871B8BF46A5}"/>
            </c:ext>
          </c:extLst>
        </c:ser>
        <c:dLbls>
          <c:showLegendKey val="0"/>
          <c:showVal val="0"/>
          <c:showCatName val="0"/>
          <c:showSerName val="0"/>
          <c:showPercent val="0"/>
          <c:showBubbleSize val="0"/>
        </c:dLbls>
        <c:marker val="1"/>
        <c:smooth val="0"/>
        <c:axId val="1921989632"/>
        <c:axId val="1920618400"/>
      </c:lineChart>
      <c:lineChart>
        <c:grouping val="standard"/>
        <c:varyColors val="0"/>
        <c:ser>
          <c:idx val="1"/>
          <c:order val="1"/>
          <c:tx>
            <c:strRef>
              <c:f>Pivots!$C$8</c:f>
              <c:strCache>
                <c:ptCount val="1"/>
                <c:pt idx="0">
                  <c:v>Sum of Amount</c:v>
                </c:pt>
              </c:strCache>
            </c:strRef>
          </c:tx>
          <c:spPr>
            <a:ln w="28575" cap="rnd">
              <a:solidFill>
                <a:schemeClr val="accent4"/>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4C2-4008-AC05-9871B8BF46A5}"/>
            </c:ext>
          </c:extLst>
        </c:ser>
        <c:dLbls>
          <c:showLegendKey val="0"/>
          <c:showVal val="0"/>
          <c:showCatName val="0"/>
          <c:showSerName val="0"/>
          <c:showPercent val="0"/>
          <c:showBubbleSize val="0"/>
        </c:dLbls>
        <c:marker val="1"/>
        <c:smooth val="0"/>
        <c:axId val="1485237184"/>
        <c:axId val="1476174448"/>
      </c:lineChart>
      <c:catAx>
        <c:axId val="192198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18400"/>
        <c:crosses val="autoZero"/>
        <c:auto val="1"/>
        <c:lblAlgn val="ctr"/>
        <c:lblOffset val="100"/>
        <c:noMultiLvlLbl val="0"/>
      </c:catAx>
      <c:valAx>
        <c:axId val="192061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89632"/>
        <c:crosses val="autoZero"/>
        <c:crossBetween val="between"/>
      </c:valAx>
      <c:valAx>
        <c:axId val="147617444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37184"/>
        <c:crosses val="max"/>
        <c:crossBetween val="between"/>
      </c:valAx>
      <c:catAx>
        <c:axId val="1485237184"/>
        <c:scaling>
          <c:orientation val="minMax"/>
        </c:scaling>
        <c:delete val="1"/>
        <c:axPos val="t"/>
        <c:numFmt formatCode="General" sourceLinked="1"/>
        <c:majorTickMark val="out"/>
        <c:minorTickMark val="none"/>
        <c:tickLblPos val="nextTo"/>
        <c:crossAx val="1476174448"/>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[viv_calif_ecommerce-dashboard.xlsx]Pivots!pvtProducts</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products are most popular?</a:t>
            </a:r>
            <a:endParaRPr lang="en-US"/>
          </a:p>
        </c:rich>
      </c:tx>
      <c:layout>
        <c:manualLayout>
          <c:xMode val="edge"/>
          <c:yMode val="edge"/>
          <c:x val="0.288569877839344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19753086419758E-2"/>
          <c:y val="0.14402170957613508"/>
          <c:w val="0.62702391367745691"/>
          <c:h val="0.81778379272274071"/>
        </c:manualLayout>
      </c:layout>
      <c:barChart>
        <c:barDir val="bar"/>
        <c:grouping val="stacked"/>
        <c:varyColors val="0"/>
        <c:ser>
          <c:idx val="0"/>
          <c:order val="0"/>
          <c:tx>
            <c:strRef>
              <c:f>Pivots!$B$43:$B$44</c:f>
              <c:strCache>
                <c:ptCount val="1"/>
                <c:pt idx="0">
                  <c:v>Female</c:v>
                </c:pt>
              </c:strCache>
            </c:strRef>
          </c:tx>
          <c:spPr>
            <a:solidFill>
              <a:schemeClr val="accent1"/>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Pivots!$B$45:$B$65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524-4B3D-9E74-1163DD55E847}"/>
            </c:ext>
          </c:extLst>
        </c:ser>
        <c:ser>
          <c:idx val="1"/>
          <c:order val="1"/>
          <c:tx>
            <c:strRef>
              <c:f>Pivots!$C$43:$C$44</c:f>
              <c:strCache>
                <c:ptCount val="1"/>
                <c:pt idx="0">
                  <c:v>Male</c:v>
                </c:pt>
              </c:strCache>
            </c:strRef>
          </c:tx>
          <c:spPr>
            <a:solidFill>
              <a:schemeClr val="accent2"/>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Pivots!$C$45:$C$65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2-3524-4B3D-9E74-1163DD55E847}"/>
            </c:ext>
          </c:extLst>
        </c:ser>
        <c:ser>
          <c:idx val="2"/>
          <c:order val="2"/>
          <c:tx>
            <c:strRef>
              <c:f>Pivots!$D$43:$D$44</c:f>
              <c:strCache>
                <c:ptCount val="1"/>
                <c:pt idx="0">
                  <c:v>Other</c:v>
                </c:pt>
              </c:strCache>
            </c:strRef>
          </c:tx>
          <c:spPr>
            <a:solidFill>
              <a:schemeClr val="accent3"/>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Pivots!$D$45:$D$65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3-3524-4B3D-9E74-1163DD55E847}"/>
            </c:ext>
          </c:extLst>
        </c:ser>
        <c:ser>
          <c:idx val="3"/>
          <c:order val="3"/>
          <c:tx>
            <c:strRef>
              <c:f>Pivots!$E$43:$E$44</c:f>
              <c:strCache>
                <c:ptCount val="1"/>
                <c:pt idx="0">
                  <c:v>Unknown</c:v>
                </c:pt>
              </c:strCache>
            </c:strRef>
          </c:tx>
          <c:spPr>
            <a:solidFill>
              <a:schemeClr val="accent4"/>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Pivots!$E$45:$E$65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4-3524-4B3D-9E74-1163DD55E847}"/>
            </c:ext>
          </c:extLst>
        </c:ser>
        <c:dLbls>
          <c:showLegendKey val="0"/>
          <c:showVal val="0"/>
          <c:showCatName val="0"/>
          <c:showSerName val="0"/>
          <c:showPercent val="0"/>
          <c:showBubbleSize val="0"/>
        </c:dLbls>
        <c:gapWidth val="150"/>
        <c:overlap val="100"/>
        <c:axId val="1134529392"/>
        <c:axId val="1134531312"/>
      </c:barChart>
      <c:catAx>
        <c:axId val="113452939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1312"/>
        <c:crosses val="autoZero"/>
        <c:auto val="1"/>
        <c:lblAlgn val="ctr"/>
        <c:lblOffset val="100"/>
        <c:noMultiLvlLbl val="0"/>
      </c:catAx>
      <c:valAx>
        <c:axId val="11345313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[viv_calif_ecommerce-dashboard.xlsx]Pivots!pvtGender</c:name>
    <c:fmtId val="7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0.21659459383319482"/>
              <c:y val="1.47275405007363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0692744355078"/>
                  <c:h val="0.12303758421949834"/>
                </c:manualLayout>
              </c15:layout>
            </c:ext>
          </c:extLst>
        </c:dLbl>
      </c:pivotFmt>
      <c:pivotFmt>
        <c:idx val="2"/>
        <c:spPr>
          <a:solidFill>
            <a:schemeClr val="accent2"/>
          </a:solidFill>
          <a:ln w="19050">
            <a:solidFill>
              <a:schemeClr val="lt1"/>
            </a:solidFill>
          </a:ln>
          <a:effectLst/>
        </c:spPr>
        <c:dLbl>
          <c:idx val="0"/>
          <c:layout>
            <c:manualLayout>
              <c:x val="-2.0120254422579999E-2"/>
              <c:y val="-0.11027245949926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757304710793088E-2"/>
                  <c:h val="0.15203730976926852"/>
                </c:manualLayout>
              </c15:layout>
            </c:ext>
          </c:extLst>
        </c:dLbl>
      </c:pivotFmt>
      <c:pivotFmt>
        <c:idx val="3"/>
        <c:spPr>
          <a:solidFill>
            <a:schemeClr val="accent1"/>
          </a:solidFill>
          <a:ln w="19050">
            <a:solidFill>
              <a:schemeClr val="lt1"/>
            </a:solidFill>
          </a:ln>
          <a:effectLst/>
        </c:spPr>
        <c:dLbl>
          <c:idx val="0"/>
          <c:layout>
            <c:manualLayout>
              <c:x val="1.3888888888888888E-2"/>
              <c:y val="-0.1458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69444444444445"/>
                  <c:h val="0.17578703703703702"/>
                </c:manualLayout>
              </c15:layout>
            </c:ext>
          </c:extLst>
        </c:dLbl>
      </c:pivotFmt>
      <c:pivotFmt>
        <c:idx val="4"/>
        <c:spPr>
          <a:solidFill>
            <a:schemeClr val="accent3"/>
          </a:solidFill>
          <a:ln w="19050">
            <a:solidFill>
              <a:schemeClr val="lt1"/>
            </a:solidFill>
          </a:ln>
          <a:effectLst/>
        </c:spPr>
        <c:dLbl>
          <c:idx val="0"/>
          <c:layout>
            <c:manualLayout>
              <c:x val="-5.8333333333333362E-2"/>
              <c:y val="3.10068533100029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1.3888888888888888E-2"/>
              <c:y val="-0.1458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69444444444445"/>
                  <c:h val="0.17578703703703702"/>
                </c:manualLayout>
              </c15:layout>
            </c:ext>
          </c:extLst>
        </c:dLbl>
      </c:pivotFmt>
      <c:pivotFmt>
        <c:idx val="7"/>
        <c:spPr>
          <a:solidFill>
            <a:schemeClr val="accent1"/>
          </a:solidFill>
          <a:ln w="19050">
            <a:solidFill>
              <a:schemeClr val="lt1"/>
            </a:solidFill>
          </a:ln>
          <a:effectLst/>
        </c:spPr>
        <c:dLbl>
          <c:idx val="0"/>
          <c:layout>
            <c:manualLayout>
              <c:x val="-2.0120254422579999E-2"/>
              <c:y val="-0.11027245949926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757304710793088E-2"/>
                  <c:h val="0.15203730976926852"/>
                </c:manualLayout>
              </c15:layout>
            </c:ext>
          </c:extLst>
        </c:dLbl>
      </c:pivotFmt>
      <c:pivotFmt>
        <c:idx val="8"/>
        <c:spPr>
          <a:solidFill>
            <a:schemeClr val="accent1"/>
          </a:solidFill>
          <a:ln w="19050">
            <a:solidFill>
              <a:schemeClr val="lt1"/>
            </a:solidFill>
          </a:ln>
          <a:effectLst/>
        </c:spPr>
        <c:dLbl>
          <c:idx val="0"/>
          <c:layout>
            <c:manualLayout>
              <c:x val="-5.8333333333333362E-2"/>
              <c:y val="3.10068533100029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1659459383319482"/>
              <c:y val="1.47275405007363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0692744355078"/>
                  <c:h val="0.12303758421949834"/>
                </c:manualLayout>
              </c15:layout>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05941444819398"/>
                  <c:h val="0.35378029202660349"/>
                </c:manualLayout>
              </c15:layout>
            </c:ext>
          </c:extLst>
        </c:dLbl>
      </c:pivotFmt>
      <c:pivotFmt>
        <c:idx val="12"/>
        <c:spPr>
          <a:solidFill>
            <a:schemeClr val="accent1"/>
          </a:solidFill>
          <a:ln w="19050">
            <a:solidFill>
              <a:schemeClr val="lt1"/>
            </a:solidFill>
          </a:ln>
          <a:effectLst/>
        </c:spPr>
        <c:dLbl>
          <c:idx val="0"/>
          <c:layout>
            <c:manualLayout>
              <c:x val="-3.3776246719160102E-2"/>
              <c:y val="6.2267792982187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84470691163603"/>
                  <c:h val="0.33812144841118164"/>
                </c:manualLayout>
              </c15:layout>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53410511186096"/>
                  <c:h val="0.20394401549320895"/>
                </c:manualLayout>
              </c15:layout>
            </c:ext>
          </c:extLst>
        </c:dLbl>
      </c:pivotFmt>
    </c:pivotFmts>
    <c:plotArea>
      <c:layout/>
      <c:pieChart>
        <c:varyColors val="1"/>
        <c:ser>
          <c:idx val="0"/>
          <c:order val="0"/>
          <c:tx>
            <c:strRef>
              <c:f>Pivots!$B$68</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26-40AA-9303-F0FB31DC0B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26-40AA-9303-F0FB31DC0B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26-40AA-9303-F0FB31DC0B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26-40AA-9303-F0FB31DC0BDE}"/>
              </c:ext>
            </c:extLst>
          </c:dPt>
          <c:dLbls>
            <c:dLbl>
              <c:idx val="0"/>
              <c:dLblPos val="bestFit"/>
              <c:showLegendKey val="0"/>
              <c:showVal val="1"/>
              <c:showCatName val="1"/>
              <c:showSerName val="0"/>
              <c:showPercent val="1"/>
              <c:showBubbleSize val="0"/>
              <c:extLst>
                <c:ext xmlns:c15="http://schemas.microsoft.com/office/drawing/2012/chart" uri="{CE6537A1-D6FC-4f65-9D91-7224C49458BB}">
                  <c15:layout>
                    <c:manualLayout>
                      <c:w val="0.20905941444819398"/>
                      <c:h val="0.35378029202660349"/>
                    </c:manualLayout>
                  </c15:layout>
                </c:ext>
                <c:ext xmlns:c16="http://schemas.microsoft.com/office/drawing/2014/chart" uri="{C3380CC4-5D6E-409C-BE32-E72D297353CC}">
                  <c16:uniqueId val="{00000001-4C26-40AA-9303-F0FB31DC0BDE}"/>
                </c:ext>
              </c:extLst>
            </c:dLbl>
            <c:dLbl>
              <c:idx val="1"/>
              <c:layout>
                <c:manualLayout>
                  <c:x val="-3.3776246719160102E-2"/>
                  <c:y val="6.2267792982187903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0484470691163603"/>
                      <c:h val="0.33812144841118164"/>
                    </c:manualLayout>
                  </c15:layout>
                </c:ext>
                <c:ext xmlns:c16="http://schemas.microsoft.com/office/drawing/2014/chart" uri="{C3380CC4-5D6E-409C-BE32-E72D297353CC}">
                  <c16:uniqueId val="{00000003-4C26-40AA-9303-F0FB31DC0BDE}"/>
                </c:ext>
              </c:extLst>
            </c:dLbl>
            <c:dLbl>
              <c:idx val="3"/>
              <c:dLblPos val="bestFit"/>
              <c:showLegendKey val="0"/>
              <c:showVal val="1"/>
              <c:showCatName val="1"/>
              <c:showSerName val="0"/>
              <c:showPercent val="1"/>
              <c:showBubbleSize val="0"/>
              <c:extLst>
                <c:ext xmlns:c15="http://schemas.microsoft.com/office/drawing/2012/chart" uri="{CE6537A1-D6FC-4f65-9D91-7224C49458BB}">
                  <c15:layout>
                    <c:manualLayout>
                      <c:w val="0.23653410511186096"/>
                      <c:h val="0.20394401549320895"/>
                    </c:manualLayout>
                  </c15:layout>
                </c:ext>
                <c:ext xmlns:c16="http://schemas.microsoft.com/office/drawing/2014/chart" uri="{C3380CC4-5D6E-409C-BE32-E72D297353CC}">
                  <c16:uniqueId val="{00000007-4C26-40AA-9303-F0FB31DC0BD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Pivots!$A$69:$A$73</c:f>
              <c:strCache>
                <c:ptCount val="4"/>
                <c:pt idx="0">
                  <c:v>Female</c:v>
                </c:pt>
                <c:pt idx="1">
                  <c:v>Male</c:v>
                </c:pt>
                <c:pt idx="2">
                  <c:v>Other</c:v>
                </c:pt>
                <c:pt idx="3">
                  <c:v>Unknown</c:v>
                </c:pt>
              </c:strCache>
            </c:strRef>
          </c:cat>
          <c:val>
            <c:numRef>
              <c:f>Pivots!$B$69:$B$73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4C26-40AA-9303-F0FB31DC0BD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[viv_calif_ecommerce-dashboard.xlsx]Pivots!pvtShipmentD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does product take to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Pivots!$G$138</c:f>
              <c:strCache>
                <c:ptCount val="1"/>
                <c:pt idx="0">
                  <c:v>Total</c:v>
                </c:pt>
              </c:strCache>
            </c:strRef>
          </c:tx>
          <c:spPr>
            <a:solidFill>
              <a:schemeClr val="accent1"/>
            </a:solidFill>
            <a:ln>
              <a:solidFill>
                <a:schemeClr val="accent1">
                  <a:shade val="15000"/>
                </a:schemeClr>
              </a:solidFill>
            </a:ln>
            <a:effectLst/>
          </c:spPr>
          <c:invertIfNegative val="0"/>
          <c:cat>
            <c:strRef>
              <c:f>Pivots!$F$139:$F$154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Pivots!$G$139:$G$154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E10-449E-9C52-C2420D8FEBC2}"/>
            </c:ext>
          </c:extLst>
        </c:ser>
        <c:dLbls>
          <c:showLegendKey val="0"/>
          <c:showVal val="0"/>
          <c:showCatName val="0"/>
          <c:showSerName val="0"/>
          <c:showPercent val="0"/>
          <c:showBubbleSize val="0"/>
        </c:dLbls>
        <c:gapWidth val="0"/>
        <c:overlap val="-27"/>
        <c:axId val="1193423631"/>
        <c:axId val="1193410671"/>
      </c:barChart>
      <c:catAx>
        <c:axId val="1193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10671"/>
        <c:crosses val="autoZero"/>
        <c:auto val="1"/>
        <c:lblAlgn val="ctr"/>
        <c:lblOffset val="100"/>
        <c:noMultiLvlLbl val="0"/>
      </c:catAx>
      <c:valAx>
        <c:axId val="119341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2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[viv_calif_ecommerce-dashboard.xlsx]Pivots!pvtCustomerS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satisfied are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Pivots!$J$138:$J$139</c:f>
              <c:strCache>
                <c:ptCount val="1"/>
                <c:pt idx="0">
                  <c:v>1</c:v>
                </c:pt>
              </c:strCache>
            </c:strRef>
          </c:tx>
          <c:spPr>
            <a:solidFill>
              <a:schemeClr val="accent1"/>
            </a:solidFill>
            <a:ln>
              <a:noFill/>
            </a:ln>
            <a:effectLst/>
          </c:spPr>
          <c:invertIfNegative val="0"/>
          <c:cat>
            <c:strRef>
              <c:f>Pivots!$I$140:$I$143</c:f>
              <c:strCache>
                <c:ptCount val="3"/>
                <c:pt idx="0">
                  <c:v>Jan</c:v>
                </c:pt>
                <c:pt idx="1">
                  <c:v>Feb</c:v>
                </c:pt>
                <c:pt idx="2">
                  <c:v>Mar</c:v>
                </c:pt>
              </c:strCache>
            </c:strRef>
          </c:cat>
          <c:val>
            <c:numRef>
              <c:f>Pivots!$J$140:$J$143</c:f>
              <c:numCache>
                <c:formatCode>General</c:formatCode>
                <c:ptCount val="3"/>
                <c:pt idx="0">
                  <c:v>7</c:v>
                </c:pt>
                <c:pt idx="1">
                  <c:v>8</c:v>
                </c:pt>
                <c:pt idx="2">
                  <c:v>6</c:v>
                </c:pt>
              </c:numCache>
            </c:numRef>
          </c:val>
          <c:extLst>
            <c:ext xmlns:c16="http://schemas.microsoft.com/office/drawing/2014/chart" uri="{C3380CC4-5D6E-409C-BE32-E72D297353CC}">
              <c16:uniqueId val="{00000000-3595-4EC3-940D-41DEE7E62A1B}"/>
            </c:ext>
          </c:extLst>
        </c:ser>
        <c:ser>
          <c:idx val="1"/>
          <c:order val="1"/>
          <c:tx>
            <c:strRef>
              <c:f>Pivots!$K$138:$K$139</c:f>
              <c:strCache>
                <c:ptCount val="1"/>
                <c:pt idx="0">
                  <c:v>2</c:v>
                </c:pt>
              </c:strCache>
            </c:strRef>
          </c:tx>
          <c:spPr>
            <a:solidFill>
              <a:schemeClr val="accent2"/>
            </a:solidFill>
            <a:ln>
              <a:noFill/>
            </a:ln>
            <a:effectLst/>
          </c:spPr>
          <c:invertIfNegative val="0"/>
          <c:cat>
            <c:strRef>
              <c:f>Pivots!$I$140:$I$143</c:f>
              <c:strCache>
                <c:ptCount val="3"/>
                <c:pt idx="0">
                  <c:v>Jan</c:v>
                </c:pt>
                <c:pt idx="1">
                  <c:v>Feb</c:v>
                </c:pt>
                <c:pt idx="2">
                  <c:v>Mar</c:v>
                </c:pt>
              </c:strCache>
            </c:strRef>
          </c:cat>
          <c:val>
            <c:numRef>
              <c:f>Pivots!$K$140:$K$143</c:f>
              <c:numCache>
                <c:formatCode>General</c:formatCode>
                <c:ptCount val="3"/>
                <c:pt idx="0">
                  <c:v>37</c:v>
                </c:pt>
                <c:pt idx="1">
                  <c:v>51</c:v>
                </c:pt>
                <c:pt idx="2">
                  <c:v>39</c:v>
                </c:pt>
              </c:numCache>
            </c:numRef>
          </c:val>
          <c:extLst>
            <c:ext xmlns:c16="http://schemas.microsoft.com/office/drawing/2014/chart" uri="{C3380CC4-5D6E-409C-BE32-E72D297353CC}">
              <c16:uniqueId val="{00000006-3595-4EC3-940D-41DEE7E62A1B}"/>
            </c:ext>
          </c:extLst>
        </c:ser>
        <c:ser>
          <c:idx val="2"/>
          <c:order val="2"/>
          <c:tx>
            <c:strRef>
              <c:f>Pivots!$L$138:$L$139</c:f>
              <c:strCache>
                <c:ptCount val="1"/>
                <c:pt idx="0">
                  <c:v>3</c:v>
                </c:pt>
              </c:strCache>
            </c:strRef>
          </c:tx>
          <c:spPr>
            <a:solidFill>
              <a:schemeClr val="accent3"/>
            </a:solidFill>
            <a:ln>
              <a:noFill/>
            </a:ln>
            <a:effectLst/>
          </c:spPr>
          <c:invertIfNegative val="0"/>
          <c:cat>
            <c:strRef>
              <c:f>Pivots!$I$140:$I$143</c:f>
              <c:strCache>
                <c:ptCount val="3"/>
                <c:pt idx="0">
                  <c:v>Jan</c:v>
                </c:pt>
                <c:pt idx="1">
                  <c:v>Feb</c:v>
                </c:pt>
                <c:pt idx="2">
                  <c:v>Mar</c:v>
                </c:pt>
              </c:strCache>
            </c:strRef>
          </c:cat>
          <c:val>
            <c:numRef>
              <c:f>Pivots!$L$140:$L$143</c:f>
              <c:numCache>
                <c:formatCode>General</c:formatCode>
                <c:ptCount val="3"/>
                <c:pt idx="0">
                  <c:v>150</c:v>
                </c:pt>
                <c:pt idx="1">
                  <c:v>182</c:v>
                </c:pt>
                <c:pt idx="2">
                  <c:v>163</c:v>
                </c:pt>
              </c:numCache>
            </c:numRef>
          </c:val>
          <c:extLst>
            <c:ext xmlns:c16="http://schemas.microsoft.com/office/drawing/2014/chart" uri="{C3380CC4-5D6E-409C-BE32-E72D297353CC}">
              <c16:uniqueId val="{00000007-3595-4EC3-940D-41DEE7E62A1B}"/>
            </c:ext>
          </c:extLst>
        </c:ser>
        <c:ser>
          <c:idx val="3"/>
          <c:order val="3"/>
          <c:tx>
            <c:strRef>
              <c:f>Pivots!$M$138:$M$139</c:f>
              <c:strCache>
                <c:ptCount val="1"/>
                <c:pt idx="0">
                  <c:v>4</c:v>
                </c:pt>
              </c:strCache>
            </c:strRef>
          </c:tx>
          <c:spPr>
            <a:solidFill>
              <a:schemeClr val="accent4"/>
            </a:solidFill>
            <a:ln>
              <a:noFill/>
            </a:ln>
            <a:effectLst/>
          </c:spPr>
          <c:invertIfNegative val="0"/>
          <c:cat>
            <c:strRef>
              <c:f>Pivots!$I$140:$I$143</c:f>
              <c:strCache>
                <c:ptCount val="3"/>
                <c:pt idx="0">
                  <c:v>Jan</c:v>
                </c:pt>
                <c:pt idx="1">
                  <c:v>Feb</c:v>
                </c:pt>
                <c:pt idx="2">
                  <c:v>Mar</c:v>
                </c:pt>
              </c:strCache>
            </c:strRef>
          </c:cat>
          <c:val>
            <c:numRef>
              <c:f>Pivots!$M$140:$M$143</c:f>
              <c:numCache>
                <c:formatCode>General</c:formatCode>
                <c:ptCount val="3"/>
                <c:pt idx="0">
                  <c:v>312</c:v>
                </c:pt>
                <c:pt idx="1">
                  <c:v>373</c:v>
                </c:pt>
                <c:pt idx="2">
                  <c:v>351</c:v>
                </c:pt>
              </c:numCache>
            </c:numRef>
          </c:val>
          <c:extLst>
            <c:ext xmlns:c16="http://schemas.microsoft.com/office/drawing/2014/chart" uri="{C3380CC4-5D6E-409C-BE32-E72D297353CC}">
              <c16:uniqueId val="{00000008-3595-4EC3-940D-41DEE7E62A1B}"/>
            </c:ext>
          </c:extLst>
        </c:ser>
        <c:ser>
          <c:idx val="4"/>
          <c:order val="4"/>
          <c:tx>
            <c:strRef>
              <c:f>Pivots!$N$138:$N$139</c:f>
              <c:strCache>
                <c:ptCount val="1"/>
                <c:pt idx="0">
                  <c:v>5</c:v>
                </c:pt>
              </c:strCache>
            </c:strRef>
          </c:tx>
          <c:spPr>
            <a:solidFill>
              <a:schemeClr val="accent5"/>
            </a:solidFill>
            <a:ln>
              <a:noFill/>
            </a:ln>
            <a:effectLst/>
          </c:spPr>
          <c:invertIfNegative val="0"/>
          <c:cat>
            <c:strRef>
              <c:f>Pivots!$I$140:$I$143</c:f>
              <c:strCache>
                <c:ptCount val="3"/>
                <c:pt idx="0">
                  <c:v>Jan</c:v>
                </c:pt>
                <c:pt idx="1">
                  <c:v>Feb</c:v>
                </c:pt>
                <c:pt idx="2">
                  <c:v>Mar</c:v>
                </c:pt>
              </c:strCache>
            </c:strRef>
          </c:cat>
          <c:val>
            <c:numRef>
              <c:f>Pivots!$N$140:$N$143</c:f>
              <c:numCache>
                <c:formatCode>General</c:formatCode>
                <c:ptCount val="3"/>
                <c:pt idx="0">
                  <c:v>224</c:v>
                </c:pt>
                <c:pt idx="1">
                  <c:v>247</c:v>
                </c:pt>
                <c:pt idx="2">
                  <c:v>250</c:v>
                </c:pt>
              </c:numCache>
            </c:numRef>
          </c:val>
          <c:extLst>
            <c:ext xmlns:c16="http://schemas.microsoft.com/office/drawing/2014/chart" uri="{C3380CC4-5D6E-409C-BE32-E72D297353CC}">
              <c16:uniqueId val="{00000009-3595-4EC3-940D-41DEE7E62A1B}"/>
            </c:ext>
          </c:extLst>
        </c:ser>
        <c:dLbls>
          <c:showLegendKey val="0"/>
          <c:showVal val="0"/>
          <c:showCatName val="0"/>
          <c:showSerName val="0"/>
          <c:showPercent val="0"/>
          <c:showBubbleSize val="0"/>
        </c:dLbls>
        <c:gapWidth val="219"/>
        <c:overlap val="-27"/>
        <c:axId val="1421449455"/>
        <c:axId val="1421449935"/>
      </c:barChart>
      <c:catAx>
        <c:axId val="142144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49935"/>
        <c:crosses val="autoZero"/>
        <c:auto val="1"/>
        <c:lblAlgn val="ctr"/>
        <c:lblOffset val="100"/>
        <c:noMultiLvlLbl val="0"/>
      </c:catAx>
      <c:valAx>
        <c:axId val="142144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4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[viv_calif_ecommerce-dashboard.xlsx]Pivots!pvtDistribution</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much do customers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Total</c:v>
                </c:pt>
              </c:strCache>
            </c:strRef>
          </c:tx>
          <c:spPr>
            <a:solidFill>
              <a:schemeClr val="accent1"/>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Pivots!$A$27:$A$34</c:f>
              <c:strCache>
                <c:ptCount val="7"/>
                <c:pt idx="0">
                  <c:v>1</c:v>
                </c:pt>
                <c:pt idx="1">
                  <c:v>2</c:v>
                </c:pt>
                <c:pt idx="2">
                  <c:v>3</c:v>
                </c:pt>
                <c:pt idx="3">
                  <c:v>4</c:v>
                </c:pt>
                <c:pt idx="4">
                  <c:v>5</c:v>
                </c:pt>
                <c:pt idx="5">
                  <c:v>6 to 10</c:v>
                </c:pt>
                <c:pt idx="6">
                  <c:v>More than 10</c:v>
                </c:pt>
              </c:strCache>
            </c:strRef>
          </c:cat>
          <c:val>
            <c:numRef>
              <c:f>Pivots!$B$27:$B$34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0AB-4B10-B2A6-6F48E416B2D6}"/>
            </c:ext>
          </c:extLst>
        </c:ser>
        <c:dLbls>
          <c:dLblPos val="outEnd"/>
          <c:showLegendKey val="0"/>
          <c:showVal val="1"/>
          <c:showCatName val="0"/>
          <c:showSerName val="0"/>
          <c:showPercent val="0"/>
          <c:showBubbleSize val="0"/>
        </c:dLbls>
        <c:gapWidth val="0"/>
        <c:overlap val="-27"/>
        <c:axId val="1429889616"/>
        <c:axId val="1429892976"/>
      </c:barChart>
      <c:catAx>
        <c:axId val="14298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92976"/>
        <c:crosses val="autoZero"/>
        <c:auto val="1"/>
        <c:lblAlgn val="ctr"/>
        <c:lblOffset val="100"/>
        <c:noMultiLvlLbl val="0"/>
      </c:catAx>
      <c:valAx>
        <c:axId val="142989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8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[viv_calif_ecommerce-dashboard.xlsx]Pivots!pvtTrends(week)</c:name>
    <c:fmtId val="10"/>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Quantity</c:v>
                </c:pt>
              </c:strCache>
            </c:strRef>
          </c:tx>
          <c:spPr>
            <a:ln w="28575" cap="rnd">
              <a:solidFill>
                <a:schemeClr val="accent2"/>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71EF-4870-95B2-09A79519CE4B}"/>
            </c:ext>
          </c:extLst>
        </c:ser>
        <c:dLbls>
          <c:showLegendKey val="0"/>
          <c:showVal val="0"/>
          <c:showCatName val="0"/>
          <c:showSerName val="0"/>
          <c:showPercent val="0"/>
          <c:showBubbleSize val="0"/>
        </c:dLbls>
        <c:marker val="1"/>
        <c:smooth val="0"/>
        <c:axId val="1921989632"/>
        <c:axId val="1920618400"/>
      </c:lineChart>
      <c:lineChart>
        <c:grouping val="standard"/>
        <c:varyColors val="0"/>
        <c:ser>
          <c:idx val="1"/>
          <c:order val="1"/>
          <c:tx>
            <c:strRef>
              <c:f>Pivots!$C$8</c:f>
              <c:strCache>
                <c:ptCount val="1"/>
                <c:pt idx="0">
                  <c:v>Sum of Amount</c:v>
                </c:pt>
              </c:strCache>
            </c:strRef>
          </c:tx>
          <c:spPr>
            <a:ln w="28575" cap="rnd">
              <a:solidFill>
                <a:schemeClr val="accent4"/>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1EF-4870-95B2-09A79519CE4B}"/>
            </c:ext>
          </c:extLst>
        </c:ser>
        <c:dLbls>
          <c:showLegendKey val="0"/>
          <c:showVal val="0"/>
          <c:showCatName val="0"/>
          <c:showSerName val="0"/>
          <c:showPercent val="0"/>
          <c:showBubbleSize val="0"/>
        </c:dLbls>
        <c:marker val="1"/>
        <c:smooth val="0"/>
        <c:axId val="1485237184"/>
        <c:axId val="1476174448"/>
      </c:lineChart>
      <c:catAx>
        <c:axId val="192198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18400"/>
        <c:crosses val="autoZero"/>
        <c:auto val="1"/>
        <c:lblAlgn val="ctr"/>
        <c:lblOffset val="100"/>
        <c:noMultiLvlLbl val="0"/>
      </c:catAx>
      <c:valAx>
        <c:axId val="192061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989632"/>
        <c:crosses val="autoZero"/>
        <c:crossBetween val="between"/>
      </c:valAx>
      <c:valAx>
        <c:axId val="147617444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237184"/>
        <c:crosses val="max"/>
        <c:crossBetween val="between"/>
      </c:valAx>
      <c:catAx>
        <c:axId val="148523718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74448"/>
        <c:crosses val="max"/>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[viv_calif_ecommerce-dashboard.xlsx]Pivots!pvtDistribution</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much do customers by?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Pivots!$A$27:$A$34</c:f>
              <c:strCache>
                <c:ptCount val="7"/>
                <c:pt idx="0">
                  <c:v>1</c:v>
                </c:pt>
                <c:pt idx="1">
                  <c:v>2</c:v>
                </c:pt>
                <c:pt idx="2">
                  <c:v>3</c:v>
                </c:pt>
                <c:pt idx="3">
                  <c:v>4</c:v>
                </c:pt>
                <c:pt idx="4">
                  <c:v>5</c:v>
                </c:pt>
                <c:pt idx="5">
                  <c:v>6 to 10</c:v>
                </c:pt>
                <c:pt idx="6">
                  <c:v>More than 10</c:v>
                </c:pt>
              </c:strCache>
            </c:strRef>
          </c:cat>
          <c:val>
            <c:numRef>
              <c:f>Pivots!$B$27:$B$34</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3A5-446B-9962-7547D9EE75E1}"/>
            </c:ext>
          </c:extLst>
        </c:ser>
        <c:dLbls>
          <c:dLblPos val="outEnd"/>
          <c:showLegendKey val="0"/>
          <c:showVal val="1"/>
          <c:showCatName val="0"/>
          <c:showSerName val="0"/>
          <c:showPercent val="0"/>
          <c:showBubbleSize val="0"/>
        </c:dLbls>
        <c:gapWidth val="0"/>
        <c:overlap val="-27"/>
        <c:axId val="1429889616"/>
        <c:axId val="1429892976"/>
      </c:barChart>
      <c:catAx>
        <c:axId val="142988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92976"/>
        <c:crosses val="autoZero"/>
        <c:auto val="1"/>
        <c:lblAlgn val="ctr"/>
        <c:lblOffset val="100"/>
        <c:noMultiLvlLbl val="0"/>
      </c:catAx>
      <c:valAx>
        <c:axId val="142989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88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[viv_calif_ecommerce-dashboard.xlsx]Pivots!pvtProducts</c:name>
    <c:fmtId val="4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Pivots!$B$43:$B$44</c:f>
              <c:strCache>
                <c:ptCount val="1"/>
                <c:pt idx="0">
                  <c:v>Female</c:v>
                </c:pt>
              </c:strCache>
            </c:strRef>
          </c:tx>
          <c:spPr>
            <a:solidFill>
              <a:schemeClr val="accent1"/>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Pivots!$B$45:$B$65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FCCE-4538-A5F2-3A6AFCC8CDDB}"/>
            </c:ext>
          </c:extLst>
        </c:ser>
        <c:ser>
          <c:idx val="1"/>
          <c:order val="1"/>
          <c:tx>
            <c:strRef>
              <c:f>Pivots!$C$43:$C$44</c:f>
              <c:strCache>
                <c:ptCount val="1"/>
                <c:pt idx="0">
                  <c:v>Male</c:v>
                </c:pt>
              </c:strCache>
            </c:strRef>
          </c:tx>
          <c:spPr>
            <a:solidFill>
              <a:schemeClr val="accent2"/>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Pivots!$C$45:$C$65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B53B-4D82-89BA-F90364594008}"/>
            </c:ext>
          </c:extLst>
        </c:ser>
        <c:ser>
          <c:idx val="2"/>
          <c:order val="2"/>
          <c:tx>
            <c:strRef>
              <c:f>Pivots!$D$43:$D$44</c:f>
              <c:strCache>
                <c:ptCount val="1"/>
                <c:pt idx="0">
                  <c:v>Other</c:v>
                </c:pt>
              </c:strCache>
            </c:strRef>
          </c:tx>
          <c:spPr>
            <a:solidFill>
              <a:schemeClr val="accent3"/>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Pivots!$D$45:$D$65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1-B53B-4D82-89BA-F90364594008}"/>
            </c:ext>
          </c:extLst>
        </c:ser>
        <c:ser>
          <c:idx val="3"/>
          <c:order val="3"/>
          <c:tx>
            <c:strRef>
              <c:f>Pivots!$E$43:$E$44</c:f>
              <c:strCache>
                <c:ptCount val="1"/>
                <c:pt idx="0">
                  <c:v>Unknown</c:v>
                </c:pt>
              </c:strCache>
            </c:strRef>
          </c:tx>
          <c:spPr>
            <a:solidFill>
              <a:schemeClr val="accent4"/>
            </a:solidFill>
            <a:ln>
              <a:noFill/>
            </a:ln>
            <a:effectLst/>
          </c:spPr>
          <c:invertIfNegative val="0"/>
          <c:cat>
            <c:strRef>
              <c:f>Pivots!$A$45:$A$65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Pivots!$E$45:$E$65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2-B53B-4D82-89BA-F90364594008}"/>
            </c:ext>
          </c:extLst>
        </c:ser>
        <c:dLbls>
          <c:showLegendKey val="0"/>
          <c:showVal val="0"/>
          <c:showCatName val="0"/>
          <c:showSerName val="0"/>
          <c:showPercent val="0"/>
          <c:showBubbleSize val="0"/>
        </c:dLbls>
        <c:gapWidth val="150"/>
        <c:overlap val="100"/>
        <c:axId val="1134529392"/>
        <c:axId val="1134531312"/>
      </c:barChart>
      <c:catAx>
        <c:axId val="113452939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1312"/>
        <c:crosses val="autoZero"/>
        <c:auto val="1"/>
        <c:lblAlgn val="ctr"/>
        <c:lblOffset val="100"/>
        <c:noMultiLvlLbl val="0"/>
      </c:catAx>
      <c:valAx>
        <c:axId val="11345313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[viv_calif_ecommerce-dashboard.xlsx]Pivots!pvtGender</c:name>
    <c:fmtId val="6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1659459383319482"/>
              <c:y val="1.47275405007363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40692744355078"/>
                  <c:h val="0.12303758421949834"/>
                </c:manualLayout>
              </c15:layout>
            </c:ext>
          </c:extLst>
        </c:dLbl>
      </c:pivotFmt>
      <c:pivotFmt>
        <c:idx val="2"/>
        <c:spPr>
          <a:solidFill>
            <a:schemeClr val="accent1"/>
          </a:solidFill>
          <a:ln w="19050">
            <a:solidFill>
              <a:schemeClr val="lt1"/>
            </a:solidFill>
          </a:ln>
          <a:effectLst/>
        </c:spPr>
        <c:dLbl>
          <c:idx val="0"/>
          <c:layout>
            <c:manualLayout>
              <c:x val="9.6948916716358517E-3"/>
              <c:y val="-5.381688757977427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38759689922479"/>
                  <c:h val="0.26494845360824737"/>
                </c:manualLayout>
              </c15:layout>
            </c:ext>
          </c:extLst>
        </c:dLbl>
      </c:pivotFmt>
      <c:pivotFmt>
        <c:idx val="3"/>
        <c:spPr>
          <a:solidFill>
            <a:schemeClr val="accent1"/>
          </a:solidFill>
          <a:ln w="19050">
            <a:solidFill>
              <a:schemeClr val="lt1"/>
            </a:solidFill>
          </a:ln>
          <a:effectLst/>
        </c:spPr>
        <c:dLbl>
          <c:idx val="0"/>
          <c:layout>
            <c:manualLayout>
              <c:x val="1.9851934345639706E-2"/>
              <c:y val="-0.118832901739945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62053535794608"/>
                  <c:h val="0.22978790022381224"/>
                </c:manualLayout>
              </c15:layout>
            </c:ext>
          </c:extLst>
        </c:dLbl>
      </c:pivotFmt>
      <c:pivotFmt>
        <c:idx val="4"/>
        <c:spPr>
          <a:solidFill>
            <a:schemeClr val="accent1"/>
          </a:solidFill>
          <a:ln w="19050">
            <a:solidFill>
              <a:schemeClr val="lt1"/>
            </a:solidFill>
          </a:ln>
          <a:effectLst/>
        </c:spPr>
        <c:dLbl>
          <c:idx val="0"/>
          <c:layout>
            <c:manualLayout>
              <c:x val="-5.8333333333333362E-2"/>
              <c:y val="3.10068533100029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Pivots!$B$68</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CBB-42FF-97E4-E3BFBD259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BB-42FF-97E4-E3BFBD259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BB-42FF-97E4-E3BFBD2595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ACBB-42FF-97E4-E3BFBD25953E}"/>
              </c:ext>
            </c:extLst>
          </c:dPt>
          <c:dLbls>
            <c:dLbl>
              <c:idx val="0"/>
              <c:layout>
                <c:manualLayout>
                  <c:x val="1.9851934345639706E-2"/>
                  <c:y val="-0.11883290173994573"/>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4162053535794608"/>
                      <c:h val="0.22978790022381224"/>
                    </c:manualLayout>
                  </c15:layout>
                </c:ext>
                <c:ext xmlns:c16="http://schemas.microsoft.com/office/drawing/2014/chart" uri="{C3380CC4-5D6E-409C-BE32-E72D297353CC}">
                  <c16:uniqueId val="{00000004-ACBB-42FF-97E4-E3BFBD25953E}"/>
                </c:ext>
              </c:extLst>
            </c:dLbl>
            <c:dLbl>
              <c:idx val="1"/>
              <c:layout>
                <c:manualLayout>
                  <c:x val="9.6948916716358517E-3"/>
                  <c:y val="-5.3816887579774278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5038759689922479"/>
                      <c:h val="0.26494845360824737"/>
                    </c:manualLayout>
                  </c15:layout>
                </c:ext>
                <c:ext xmlns:c16="http://schemas.microsoft.com/office/drawing/2014/chart" uri="{C3380CC4-5D6E-409C-BE32-E72D297353CC}">
                  <c16:uniqueId val="{00000003-ACBB-42FF-97E4-E3BFBD25953E}"/>
                </c:ext>
              </c:extLst>
            </c:dLbl>
            <c:dLbl>
              <c:idx val="2"/>
              <c:layout>
                <c:manualLayout>
                  <c:x val="-5.8333333333333362E-2"/>
                  <c:y val="3.1006853310002917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BB-42FF-97E4-E3BFBD25953E}"/>
                </c:ext>
              </c:extLst>
            </c:dLbl>
            <c:dLbl>
              <c:idx val="3"/>
              <c:layout>
                <c:manualLayout>
                  <c:x val="0.21659459383319482"/>
                  <c:y val="1.4727540500736377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2740692744355078"/>
                      <c:h val="0.12303758421949834"/>
                    </c:manualLayout>
                  </c15:layout>
                </c:ext>
                <c:ext xmlns:c16="http://schemas.microsoft.com/office/drawing/2014/chart" uri="{C3380CC4-5D6E-409C-BE32-E72D297353CC}">
                  <c16:uniqueId val="{00000002-ACBB-42FF-97E4-E3BFBD2595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Pivots!$A$69:$A$73</c:f>
              <c:strCache>
                <c:ptCount val="4"/>
                <c:pt idx="0">
                  <c:v>Female</c:v>
                </c:pt>
                <c:pt idx="1">
                  <c:v>Male</c:v>
                </c:pt>
                <c:pt idx="2">
                  <c:v>Other</c:v>
                </c:pt>
                <c:pt idx="3">
                  <c:v>Unknown</c:v>
                </c:pt>
              </c:strCache>
            </c:strRef>
          </c:cat>
          <c:val>
            <c:numRef>
              <c:f>Pivots!$B$69:$B$73</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ACBB-42FF-97E4-E3BFBD2595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[viv_calif_ecommerce-dashboard.xlsx]Pivots!pvtShipmentD</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Pivots!$G$138</c:f>
              <c:strCache>
                <c:ptCount val="1"/>
                <c:pt idx="0">
                  <c:v>Total</c:v>
                </c:pt>
              </c:strCache>
            </c:strRef>
          </c:tx>
          <c:spPr>
            <a:solidFill>
              <a:schemeClr val="accent1"/>
            </a:solidFill>
            <a:ln>
              <a:noFill/>
            </a:ln>
            <a:effectLst/>
          </c:spPr>
          <c:invertIfNegative val="0"/>
          <c:cat>
            <c:strRef>
              <c:f>Pivots!$F$139:$F$154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Pivots!$G$139:$G$154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658-4771-9312-AC2E150FC741}"/>
            </c:ext>
          </c:extLst>
        </c:ser>
        <c:dLbls>
          <c:showLegendKey val="0"/>
          <c:showVal val="0"/>
          <c:showCatName val="0"/>
          <c:showSerName val="0"/>
          <c:showPercent val="0"/>
          <c:showBubbleSize val="0"/>
        </c:dLbls>
        <c:gapWidth val="219"/>
        <c:overlap val="-27"/>
        <c:axId val="1193423631"/>
        <c:axId val="1193410671"/>
      </c:barChart>
      <c:catAx>
        <c:axId val="119342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10671"/>
        <c:crosses val="autoZero"/>
        <c:auto val="1"/>
        <c:lblAlgn val="ctr"/>
        <c:lblOffset val="100"/>
        <c:noMultiLvlLbl val="0"/>
      </c:catAx>
      <c:valAx>
        <c:axId val="119341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42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[viv_calif_ecommerce-dashboard.xlsx]Pivots!pvtCustomerS</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Pivots!$J$138:$J$139</c:f>
              <c:strCache>
                <c:ptCount val="1"/>
                <c:pt idx="0">
                  <c:v>1</c:v>
                </c:pt>
              </c:strCache>
            </c:strRef>
          </c:tx>
          <c:spPr>
            <a:solidFill>
              <a:schemeClr val="accent1"/>
            </a:solidFill>
            <a:ln>
              <a:noFill/>
            </a:ln>
            <a:effectLst/>
          </c:spPr>
          <c:invertIfNegative val="0"/>
          <c:cat>
            <c:strRef>
              <c:f>Pivots!$I$140:$I$143</c:f>
              <c:strCache>
                <c:ptCount val="3"/>
                <c:pt idx="0">
                  <c:v>Jan</c:v>
                </c:pt>
                <c:pt idx="1">
                  <c:v>Feb</c:v>
                </c:pt>
                <c:pt idx="2">
                  <c:v>Mar</c:v>
                </c:pt>
              </c:strCache>
            </c:strRef>
          </c:cat>
          <c:val>
            <c:numRef>
              <c:f>Pivots!$J$140:$J$143</c:f>
              <c:numCache>
                <c:formatCode>General</c:formatCode>
                <c:ptCount val="3"/>
                <c:pt idx="0">
                  <c:v>7</c:v>
                </c:pt>
                <c:pt idx="1">
                  <c:v>8</c:v>
                </c:pt>
                <c:pt idx="2">
                  <c:v>6</c:v>
                </c:pt>
              </c:numCache>
            </c:numRef>
          </c:val>
          <c:extLst>
            <c:ext xmlns:c16="http://schemas.microsoft.com/office/drawing/2014/chart" uri="{C3380CC4-5D6E-409C-BE32-E72D297353CC}">
              <c16:uniqueId val="{00000000-D6A9-4598-B2DF-1C2185577E99}"/>
            </c:ext>
          </c:extLst>
        </c:ser>
        <c:ser>
          <c:idx val="1"/>
          <c:order val="1"/>
          <c:tx>
            <c:strRef>
              <c:f>Pivots!$K$138:$K$139</c:f>
              <c:strCache>
                <c:ptCount val="1"/>
                <c:pt idx="0">
                  <c:v>2</c:v>
                </c:pt>
              </c:strCache>
            </c:strRef>
          </c:tx>
          <c:spPr>
            <a:solidFill>
              <a:schemeClr val="accent2"/>
            </a:solidFill>
            <a:ln>
              <a:noFill/>
            </a:ln>
            <a:effectLst/>
          </c:spPr>
          <c:invertIfNegative val="0"/>
          <c:cat>
            <c:strRef>
              <c:f>Pivots!$I$140:$I$143</c:f>
              <c:strCache>
                <c:ptCount val="3"/>
                <c:pt idx="0">
                  <c:v>Jan</c:v>
                </c:pt>
                <c:pt idx="1">
                  <c:v>Feb</c:v>
                </c:pt>
                <c:pt idx="2">
                  <c:v>Mar</c:v>
                </c:pt>
              </c:strCache>
            </c:strRef>
          </c:cat>
          <c:val>
            <c:numRef>
              <c:f>Pivots!$K$140:$K$143</c:f>
              <c:numCache>
                <c:formatCode>General</c:formatCode>
                <c:ptCount val="3"/>
                <c:pt idx="0">
                  <c:v>37</c:v>
                </c:pt>
                <c:pt idx="1">
                  <c:v>51</c:v>
                </c:pt>
                <c:pt idx="2">
                  <c:v>39</c:v>
                </c:pt>
              </c:numCache>
            </c:numRef>
          </c:val>
          <c:extLst>
            <c:ext xmlns:c16="http://schemas.microsoft.com/office/drawing/2014/chart" uri="{C3380CC4-5D6E-409C-BE32-E72D297353CC}">
              <c16:uniqueId val="{00000006-D6A9-4598-B2DF-1C2185577E99}"/>
            </c:ext>
          </c:extLst>
        </c:ser>
        <c:ser>
          <c:idx val="2"/>
          <c:order val="2"/>
          <c:tx>
            <c:strRef>
              <c:f>Pivots!$L$138:$L$139</c:f>
              <c:strCache>
                <c:ptCount val="1"/>
                <c:pt idx="0">
                  <c:v>3</c:v>
                </c:pt>
              </c:strCache>
            </c:strRef>
          </c:tx>
          <c:spPr>
            <a:solidFill>
              <a:schemeClr val="accent3"/>
            </a:solidFill>
            <a:ln>
              <a:noFill/>
            </a:ln>
            <a:effectLst/>
          </c:spPr>
          <c:invertIfNegative val="0"/>
          <c:cat>
            <c:strRef>
              <c:f>Pivots!$I$140:$I$143</c:f>
              <c:strCache>
                <c:ptCount val="3"/>
                <c:pt idx="0">
                  <c:v>Jan</c:v>
                </c:pt>
                <c:pt idx="1">
                  <c:v>Feb</c:v>
                </c:pt>
                <c:pt idx="2">
                  <c:v>Mar</c:v>
                </c:pt>
              </c:strCache>
            </c:strRef>
          </c:cat>
          <c:val>
            <c:numRef>
              <c:f>Pivots!$L$140:$L$143</c:f>
              <c:numCache>
                <c:formatCode>General</c:formatCode>
                <c:ptCount val="3"/>
                <c:pt idx="0">
                  <c:v>150</c:v>
                </c:pt>
                <c:pt idx="1">
                  <c:v>182</c:v>
                </c:pt>
                <c:pt idx="2">
                  <c:v>163</c:v>
                </c:pt>
              </c:numCache>
            </c:numRef>
          </c:val>
          <c:extLst>
            <c:ext xmlns:c16="http://schemas.microsoft.com/office/drawing/2014/chart" uri="{C3380CC4-5D6E-409C-BE32-E72D297353CC}">
              <c16:uniqueId val="{00000007-D6A9-4598-B2DF-1C2185577E99}"/>
            </c:ext>
          </c:extLst>
        </c:ser>
        <c:ser>
          <c:idx val="3"/>
          <c:order val="3"/>
          <c:tx>
            <c:strRef>
              <c:f>Pivots!$M$138:$M$139</c:f>
              <c:strCache>
                <c:ptCount val="1"/>
                <c:pt idx="0">
                  <c:v>4</c:v>
                </c:pt>
              </c:strCache>
            </c:strRef>
          </c:tx>
          <c:spPr>
            <a:solidFill>
              <a:schemeClr val="accent4"/>
            </a:solidFill>
            <a:ln>
              <a:noFill/>
            </a:ln>
            <a:effectLst/>
          </c:spPr>
          <c:invertIfNegative val="0"/>
          <c:cat>
            <c:strRef>
              <c:f>Pivots!$I$140:$I$143</c:f>
              <c:strCache>
                <c:ptCount val="3"/>
                <c:pt idx="0">
                  <c:v>Jan</c:v>
                </c:pt>
                <c:pt idx="1">
                  <c:v>Feb</c:v>
                </c:pt>
                <c:pt idx="2">
                  <c:v>Mar</c:v>
                </c:pt>
              </c:strCache>
            </c:strRef>
          </c:cat>
          <c:val>
            <c:numRef>
              <c:f>Pivots!$M$140:$M$143</c:f>
              <c:numCache>
                <c:formatCode>General</c:formatCode>
                <c:ptCount val="3"/>
                <c:pt idx="0">
                  <c:v>312</c:v>
                </c:pt>
                <c:pt idx="1">
                  <c:v>373</c:v>
                </c:pt>
                <c:pt idx="2">
                  <c:v>351</c:v>
                </c:pt>
              </c:numCache>
            </c:numRef>
          </c:val>
          <c:extLst>
            <c:ext xmlns:c16="http://schemas.microsoft.com/office/drawing/2014/chart" uri="{C3380CC4-5D6E-409C-BE32-E72D297353CC}">
              <c16:uniqueId val="{00000008-D6A9-4598-B2DF-1C2185577E99}"/>
            </c:ext>
          </c:extLst>
        </c:ser>
        <c:ser>
          <c:idx val="4"/>
          <c:order val="4"/>
          <c:tx>
            <c:strRef>
              <c:f>Pivots!$N$138:$N$139</c:f>
              <c:strCache>
                <c:ptCount val="1"/>
                <c:pt idx="0">
                  <c:v>5</c:v>
                </c:pt>
              </c:strCache>
            </c:strRef>
          </c:tx>
          <c:spPr>
            <a:solidFill>
              <a:schemeClr val="accent5"/>
            </a:solidFill>
            <a:ln>
              <a:noFill/>
            </a:ln>
            <a:effectLst/>
          </c:spPr>
          <c:invertIfNegative val="0"/>
          <c:cat>
            <c:strRef>
              <c:f>Pivots!$I$140:$I$143</c:f>
              <c:strCache>
                <c:ptCount val="3"/>
                <c:pt idx="0">
                  <c:v>Jan</c:v>
                </c:pt>
                <c:pt idx="1">
                  <c:v>Feb</c:v>
                </c:pt>
                <c:pt idx="2">
                  <c:v>Mar</c:v>
                </c:pt>
              </c:strCache>
            </c:strRef>
          </c:cat>
          <c:val>
            <c:numRef>
              <c:f>Pivots!$N$140:$N$143</c:f>
              <c:numCache>
                <c:formatCode>General</c:formatCode>
                <c:ptCount val="3"/>
                <c:pt idx="0">
                  <c:v>224</c:v>
                </c:pt>
                <c:pt idx="1">
                  <c:v>247</c:v>
                </c:pt>
                <c:pt idx="2">
                  <c:v>250</c:v>
                </c:pt>
              </c:numCache>
            </c:numRef>
          </c:val>
          <c:extLst>
            <c:ext xmlns:c16="http://schemas.microsoft.com/office/drawing/2014/chart" uri="{C3380CC4-5D6E-409C-BE32-E72D297353CC}">
              <c16:uniqueId val="{00000009-D6A9-4598-B2DF-1C2185577E99}"/>
            </c:ext>
          </c:extLst>
        </c:ser>
        <c:dLbls>
          <c:showLegendKey val="0"/>
          <c:showVal val="0"/>
          <c:showCatName val="0"/>
          <c:showSerName val="0"/>
          <c:showPercent val="0"/>
          <c:showBubbleSize val="0"/>
        </c:dLbls>
        <c:gapWidth val="219"/>
        <c:overlap val="-27"/>
        <c:axId val="1421449455"/>
        <c:axId val="1421449935"/>
      </c:barChart>
      <c:catAx>
        <c:axId val="142144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49935"/>
        <c:crosses val="autoZero"/>
        <c:auto val="1"/>
        <c:lblAlgn val="ctr"/>
        <c:lblOffset val="100"/>
        <c:noMultiLvlLbl val="0"/>
      </c:catAx>
      <c:valAx>
        <c:axId val="142144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44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customers live?</a:t>
          </a:r>
        </a:p>
      </cx:txPr>
    </cx:title>
    <cx:plotArea>
      <cx:plotAreaRegion>
        <cx:plotSurface>
          <cx:spPr>
            <a:ln>
              <a:noFill/>
            </a:ln>
          </cx:spPr>
        </cx:plotSurface>
        <cx:series layoutId="regionMap" uniqueId="{C9379045-58A1-4326-A1B5-2998EB5B0A16}">
          <cx:tx>
            <cx:txData>
              <cx:f>_xlchart.v5.2</cx:f>
              <cx:v>Qty</cx:v>
            </cx:txData>
          </cx:tx>
          <cx:spPr>
            <a:ln>
              <a:solidFill>
                <a:schemeClr val="accent1">
                  <a:shade val="15000"/>
                </a:schemeClr>
              </a:solidFill>
            </a:ln>
          </cx:spPr>
          <cx:dataId val="0"/>
          <cx:layoutPr>
            <cx:geography cultureLanguage="en-US" cultureRegion="US" attribution="Powered by Bing">
              <cx:geoCache provider="{E9337A44-BEBE-4D9F-B70C-5C5E7DAFC167}">
                <cx:binary>5H1Zk9s4su5fcfj5spoASCwT0xPRJCXVvnt9YchVMgkuAPft159Ule0pUSoP60QrToyuuiembSmh
FD9kInf886H7x0OyWhbvujRR5T8euj/fh1WV/eOPP8qHcJUuy6NUPhS61N+rowed/qG/f5cPqz8e
i2UrVfAHNpH1x0O4LKpV9/5f/4TVgpU+1w/LSmp1U6+K/nZV1klV/ua9nW+9Wz6mUnmyrAr5UKE/
37vLRH7XhZLL95vv4T/f/5Us09Xj8p2ra1X179+tVCWr/r7PVn++31gHv3/3x/jrtlh7lwD3Vf0I
xIQdcdPimFMinl7s/btEq+DH2wbC+AgzbDEKKz9/6yWw8iaOnvhZPj4Wq7KEX/b0/9sLbPwMeBp/
/een8LB+GmsAAsDiz/cflKxWj+/uqmW1Kt+/k6V+elxF7+r1T/1w9/Rs/tiE8F//HP0FPK3R37xA
efxo/9Nbm0D+R5AzqVZ7wJgfUUFsimzrGWM+whiJIwYv22bWGOSpHL2G8Qb9JIg3KA4MYW+VvLvU
oEr+fpAtdMRsizGM+CuCbB1h0yIgyCNJfhNTu3HeXmIC1NtEB4b2F53ovx9oAtLMmCUs0x6JMYYt
wCyGEEWbYjyVkd3gblBPwHXj8wcG6d1SvZsXS/Ugywf98yH/Pccw46bJOP8hvWKMLT6ywBSxOYF3
Xp7DGxxN2W27Qd69zAS0dxMeGOwXy0JmutyP/WVxCzObY/PpBaK7YX/B2SyoxThm5rNe34T/LZzt
Rn5rhQmgb9EcGN5/pctHXUyRpjda2/yIgCltYg6G1gbM2ATdjbEgpvi5DV5K+XSGdoM8op8A8Yji
wAC+X4XLdA/ibJlHiFFq2hg9S+sOPY6JhSyKnuV9dFJP52s3ziP6CTiPKA4M5/XpdAHu4D7sMHYE
mpsx8KxeMbjBc8YcgaU2AvlNTO3GeXuJCVBvEx0Y2k5d7cO1IuLIRiC15mv+Mxjetg0ijfAI6ckM
7UZ5k3wCwpsEB4bunVZ6HzobHCqLCCoYmFhPLzI+m/ERQza1QNw3ja/pHO3Gd0Q/AeARxYEhfLF8
XBV7OJUJBRsaExvM7GeEx0Y2WF8mJYAvGnlX0znajfCIfgLCI4oDQ9jVSb0XN0pAcEtgAjHOZ4Qh
xrVpX+Mj0+SECguiJi8t6+kc7UZ4RD8B4RHFoSG8TJYNSHG5F+8JgRwjzH4o6i2QzSPK19vAoiOQ
38LUKzhvLTEF6i2iQ0NbQwJmrbHLah96mx+Z63A2IezZxB4nLiA5hUBt2wzBO5tS/Ta+XsF816+b
AvsuugNDfpa883QBYZK9yDnDgtr4R0pSbDnRECwRAgHw9Enbj6zuN7G2G/ntJSbAvk10YJhfJzXk
y/cAOMQ4CWUA+I+oyVYS2jwSFhc2+Nqbcj6do904j+gngDyiODCEL8DH2gO+/AhDcpnTn8mNMb4Q
5IZQCRcQ497Edyo/u9HdoJ6A7cbnDwzZOVRf7AVbesQIoraNXol4rosLuA3/oJHsTudoN7oj+gn4
jigODOFFslJqD8IL0S9s2khgMKrHPhUSHDFwrDeldjInu4HdJJ+A6ybBgcF6J1fFXoIigCs1CZR+
Wc8u81bYyzyCN03Q2s8+9cjKms7XbpRH9BNgHlEcGs7LhwIq61S1nwPYZlADZoF3/PQaH8AQwYY8
BfwDUe71a4z1m3h7Be/tNaZgvk11YLjfSgiXlPJxDzVhhBwJbtqEPLtJT7BuaHDEjggEUzBiI7vr
TUztxnt7iQlwbxMdGNrHdfpNJ4/V339OQ+oZLGxkWdvntHUEJWHEBG3+LP2bp/VbWNoN9dYKE5De
ojkwoE/SbFXIZfL3A00gHSUwty2Cdh/cyIaT3QaLHCpNdijzt3C2G++tFSbgvUVzYHjfrXPP+ygZ
EhDixBii3j/8q60YKDqi2Aa5F6Og93SOdqM8op+A8YjiwBA+Uf0+TDMKDRgYPCwo6f2pnTfPaH4E
yFMKpaGbensqP7vR3aCegO3G5w8M2XVhjLOC7pE94WuDfEL6eTe+a9PbxCac3GP5fRNXu1He8csm
YL2D6sAQP1sV+wiV2GBOP9UJ/TC4x3UGEAtbJ7RAoYMD9jJfNZWf3ShvUE/Ad+PzB4bs5TLbTyYS
Q4GQBafwbptr3SbH1z0ZfBQLm8rPbmQ3qCcgu/H5A0P2YlU8QHufu4cWSGJSQX+lJ7YsLBMqPZFg
iO0MjkznazfGI/oJKI8oDgznM2i73UeSkR6B2gUZtl45iEE5U3gPRHysnKcytBvfzd8zAd5NggND
93wZ7yPSBQcr+MOQPyTP+nmrNAgfCWQjytnIyprKz25sN6gnQLvx+QND9iMYNPVeMhXQuQp5CGK+
Vga0Th8LiIZQc+QivYGl3fiOF5gA8ZjkwFA+X5blag+2M4QvLWhQ5+JHH5y5Ix1F4W2L05F6ns7R
boxH9BMgHlEcGMIX+lE//P1mFjSoW8KEGh5Enx3hrXSyeWRbGHosEED/0jmazNBufDfJJ8C7SXBg
6J7r8t1fKlglq33YWNYRtL5hwn/aWGNTGkElkEWgBxKO6h2h6TcytxvvXYtMQH0X2YFhD/VNEKNe
9X+/cEOHBWUwloCYr/XQQJQaWmgoGc+ReQtPu/HeWmEC2Fs0h4Y0NKzv4ZCGaUGCWTa00fwozR3L
N4RBbILgiBYjS2zdMT6JoVcw3iCfAvAGwaGhu1JwRMu9lPNBummdiGDsR6BrHMLEBDptGCVEjMyw
i7cw9QrKW0tMQXqL6MDQvlw1y72M/gKviWIGftWPnqktixtBtBoaprYyi9M52o3ziH4CyCOK/wKE
f8/ixk9ejwX766fJu2OYzNtHuoEVTalAz6Mk1sVcmxlFCHQh6HZF0O749Pr53c+T3V7OoXs2w3fx
tBvZl7Qbv/H5J/7+ofzXDWyDPBm0PTnL4ttyT3EPmPmzPkxfL62mgsM4Cehr3AHkm9nbjenuZXag
u/FXMLRwN+Hh7YF3p3qZ19PMmzfOiwF7C6wtC8M+eHrtUNFYQEhbiN01upBCfgNzr+K/tcgG1LuH
NQL6W2QHhv0VTAIL9hHNJlDhBe1tnL42sBGmdtowKoiOC3Wnc7Qb6xH9BJhHFAeG8F243EtnK0Q7
YdgmJZy81sqMjwhHJufras6XwbDpHO1GeEQ/AeERxYEhfJ0sH/ZSt8ePoJ9tLcU/rLAdqhtqviBr
gZ/P7lEF9nS+duM8op+A84jiwHBeH0fntSzfXX2TZbaPQi8bslSYgsMEgxzXr7HZDUNGYDKYCVOC
RlD/L1jbjflrC00A/zXSA9wFDtR+LYvH/YRPoNQeMpWIkx956LHUQ8cFhjIh0Awjtf5U7PcWxl7f
Ajt+4MQdsIPyADeAJ1fBPhTA05goZkNt/tjhZtCAAcc5/1kDuo39ZJ5eh31ziYmIbxIdHtjrsSTJ
frxz6J2CRBYUnPzoqhmjDoW9ULONIH42anwGXfsWtl5FfGuRaZhvkR0a6tVSyTJZ1vtIcDKoETOh
45m+VmcEMVNzneJkowQI3ErwBq5ewXx7jSmQb1MdGuLPAlXUw14ym5DyQpb5s2xhS8xhshjMrjDB
G99S62tRm8jVK4hv/7IpiG9THRrisoxlr+u/H+/1PQoE5qzjnxeigKG2ET2HFCcF+bdhYOAI7zfw
9Ara4xWmYD2mOTSkdbLcS6JzPZMGvPN1zcJudw3k2hIw+2CrL2cyR6+gvEk/BeNNigND+B4qA+Ay
oz2IMnREQ8k3BNB/pEcgYz0W5XXLBqRPwFd/GWR7A0u7MR4vMAHkMcmhoVzD6M90L9cbQZKEg1MN
WZBXJNmEWCpGiOORxr5/A0+v4DxeYQrQY5qDQxocrn1kRaCBg5jrufmv4PxUBr52uewtnKdy9BrK
G/STMN6gODCEv9Tf9tFjty49QjC2AMbAPb22ejhgzDr0b3DIm2yq66n87EZ3g3oCthuf/79A9vXr
6X7d9Octq+Xs6Y7AFzfU/f7dp4cDdxuOSH+ciztKQH41Op48/vkeqsWIDYVEL2pV1gttnqpPl278
hG6TagV5tj/fw3WDCG5Iwev6FQKFD2jd896ufrxFYEg33J0Cl+GYGNpsYRi7grvUwj/fr3sHbPDB
OKRMYcwRVCC+f1fqev0WzO5n4L/BjhLQ/EUswn9d4nitkz7Q6tdT+fHnd6pOr7VUVfnnexih8f5d
9vy5Nb/wC6GwBpq54bsgzEcpg4eQPSxv1x1i8BD+n0qgnCoBNq4aEcalFxHyIbDN40gp47ROghmq
rMG1jaZ3/KY+6doeOTrFdIYacVrZMXUzQtA8iPp7buh8UUdp4igkE0fTdBbV2UOAO4Scoao7f0Gp
rg2PGPXHkg/WbZ9G7YIW1D8PrZ6eRB3zaI6Jm7GmuLCxVTt2gMN5x9C3yi+/m35dHWetuixwhKRL
dRnPZFff9qi7YU1Eb/IsTdwgbrlnJqp2Ck5TJxGqcIJaZE4vMuGkwBXv4nkU1MYxipg/i1LJHF7L
R6RwV3tl40unUlFzTEs/cIJs8J2KxIET+wpd+TjSTlcr+LtQqGOGEuRk8PWDTJRTMBPBt8jCGYjg
TkF47gnSXiTMv4p0eNopfFwVaQ7L42WVkPyMBn7m6KqxncaPbrVdujHVZ41hWk5BSeTKNO8XQ4ik
U9TFjNd56BYh9WcmNz5kQ3kniuI4C01+YufDddHGvQeFNZ9Izh50oS9zZDOnQOEp4va1Xfn3QaMi
p20Lr4nF9yKzTsxaXNhlW3q4NKiLlMUWWaI/R21ySpX80kVV6fbC+N4FPHTrSsxl0ny1lVhliuUn
yAqlG6mKO4rCY2kSkjkkDMJzKVvmxHkpv2Klr3kffYxNljptqrWTKLubGVy0s1SrwRnK8hNtyi+c
dq62sJ7FgaydPpChmyX5R01EPE/NxHY6TgOvNLt7DdAnCW6IKxuzmqkBNS5NDO0GVn2dlUnqmKyN
ZsVQP1hZ9bkJ48c0UNbcJ+gx8+NoHnZhdap87PgGJ/NAsWZOO+K7Q14G8PW4W9SmKR3Tt9LCkSi3
vcwiJ0YtxCLgaeQSrkEQNP/eR9Sz4vIbydrQEX7LZigqY6+m5fdWZRS47VMXZD9zMxUnczkwh4a+
cFghhJtLkBG/04nT6HDwfJS7JKmI0/bNImio8ELeXZHGP8a2ug47dUVjfmIYcl7jkzT1/PZCwJql
Vd1leVu5tGfXcUo/MZFexSpPnJZEvedH3SJGyDVzCcM0q88sCU1Pd1Xh6CgTs5KJwtWiEk4VqbmO
swuM60VppB/KoD6J8+C8SrP0GOHSlbi/xklzbNVt7LBWwG7vuqs0wcMpN5MvYSkvbZoph5otO4ly
do5FeimrbJEYpHJ42WNXx/HgUFpJLwgRd40AyZM6kue4lucozb4kqMsd3pa1Q5H/wWL2p7oor3Aa
W4sw1sLrIkRdO7Rsr4ArZZ0wYLFj1NUisFLlCDp0rtGnty31Pw0+8JdndekMkoDqAbogTTonqBIv
i+ITfyhWuSLWDA9J5uQCH5uBHtywp7Ej4LG6TRV+wj65qVoSOETW/ayJSsuLm4Iex7n5HY78M0vK
cxmGzOmSlMC2zj0zlV8GSu59H3AvfM3cvEoMJ47Qrc3FF+RHqRMQdYONrnXQwL9TUS+qweidXHF/
hsvmpgjrha/wfROWF2ZjBA7L+KkswtzxWXqT5MrrmDROwzb5IO1KeWbVndKez5og6Z2qw7Yb5Uni
UtXGs8TqtDeY4cWgWsOxfd15RpF8Dwb/Ps8C4vQIx/DjwmzRhdFjkdlXgUbKMXk7eBZc7eUqiByf
tYExHFc8m7OWBc6QDzc9Ie3MaKrMjUVw1xE5q7FxLPzsTIi0mVtZcQrTU0M4BcLAzfO0X5CW1m5C
tT330/5zWpjzKjCXednJRYfD2uVtc0nr9AO2m/OBaSDFcmY11ryIglmj+ZnMiuOo9KvjATaR2w5U
OrZlLnqGHgaUXdgB6OxOkBmNwlmOilUVyYuqy5dDF8yYBOks+9qF0oUvmivPj3nsdK0/82PzmFWg
TYNqbjWwCUzQRwROCiYT7tmxStyuZ/dZLS8Gy17FFShKSaieNQk7BuHunGqQF4i0hdOV4qoQQ7DA
VvsxgX3r8MSKQFCK0G2w4YCg3RR20ziUDXph9sESzs5ipmVYO0bY65kJM++uODf4woCx0ouiLD7L
GN3Zqk5cPYgPiFVfojj0nQL0glNWsDUSliHQIGg+YP6N+LxbFKKYA3/fiijXjuL6sfSHxBERajwV
kuFSxZHt+Vl+DWfeRWvBe20WnlVCWU7VFC7JDD0Taf3o0zgDLZo/klBdRZEoXd/wY7dq/AuU0dqx
gj6cCy0aL+gqy/GjOllLWe763L4MmQlSBpfiOobUc10Hx72dhzMGetLwQ6c11F2vh3AhjehrzLIH
u2UuCdN04fvxAuwIwMBv7pCdITdvcnY6GOwkq0I4ipUVuwmYRq5EQ+9SA5VXYrC8oE+/x2asXZ62
Vx3zE6c0gnOTyNQVVfadGyqYQWDsS6sNNDPy1IaV6DIObdvJAuOzmdf+TcHVBWjzUvgXVhMuQmnZ
hpvUIT8xq1jklzpJdEidQppB4EQyb4YZVJrn4fnLG5o37LMHnfWFDMIf92z/+uO/7nUK/z5d2fzv
v1xf0/3vPy1Wel3ZXI4/tLajf33q39c+r+3WX3dAj6zh57u+XzGVf/vmm+xoBLbtr2u8t+zop/kA
22b0muinGQ2usAWNOnD1GIILM0wBb/0yoyEaArekwHU3DDqyMOQmf1jR0MMFhitY0OtB3evp+0D0
04q2YbYg2ONwuzDM8V4Xj7/Fil7XOmwa0esbHSBlIiC2Cok0C9y5l0Y08knVxxmDzT8YpPiARZik
ylV9irwwNGqwL6MSy4uSx+RzpmmXL8w2uTEN4gqTJKlXyK6SbsVMnzo9p2V+kupi8HrWENup7TIi
s7L0T1uSgC6DS3qH+Ean8aesTW8pCr92La5cRshlT+EYspQtZwPrpBPk4TfNYN9iU2EPJoKETm8a
blfVC6Gi2E0xWIwtKe9C5H/OhAJloM1o6L0kTIPuY5zo0k1lPSwau4gz7YWwKnV13VfqwjJ6etyH
0bG0pD/HftLOzEpJx1dN9g1Hw9cALHK3oqnvokzNQde3rk6j4zwyjqXMK6cr1DeTFBFYCD7xBiv9
IAPjAV9kqr/QVux1MJnIFckQu37i36Oc36TanAkwj6LhBlX0Q9uA6ciDmaWKXFz8/yiIL0XKhiEh
v5PBl40Oz5HjJ//wieqXEEIx0LoV1oQrt204w2HBX0JowdAvKNkGk4BDo8b6hsCfviykHdBaAs11
dwbc5g0e8E8pXDfXwYJgA3MoHIU5Um+RQgTfMZJCuIQSJmJQyICAz72uUngphdVAdJbXdXepWiJm
TeuH4FyRiMVuzNrmhhp2fxp1jYpnphlXXyptNR9iqwSrsxQq//Ti6f3Q5C89623HGm65ffLRYciO
ta6j2+TGUn0Wi7BuLnGu0GUQD+A01kzT0O2aSgunaa36C2syA5y7lFe5m0cFuJn+UDLLhUpM9Siq
yryCNcLaw0mCPgy2wdGip7a/Qr2BuvnvOcagDsfPz4KmVwgEQI0+DFeF2MfL52dJFgK2fXVJOjsI
PNoNyYcGMkpkXrFeg4/adyjyJPO5MzDaS6ePTbJIm6JHXtHo6jHsyhK50shsr6ykbpwqDc0G/B07
DmaBjsLruBanaSnC0lsHOD6WYX4WJy14hBIc0AswdJt08ftftRXfgGAJNPFCsATODUqefvSL+Abr
jaA1sqS8VJUvPuqAI+xYMYatkam6u267QtxlPko+//5r13vtZVgF+sEh2MMI3N0EraWYrNl68bW2
2QVWVgbqUvEBXaI4rC9VWbiS++HH338TiM/WNwmYt8dgkAREGvlon2XK6oe8CPUlz0xrmbe6SBZ+
xXvsxFk4A+smGVxi9ly7EbHb9D9tmvWm2PyhsFFg3KMFd1TBTN7x10OISoaBSuUly2N7mUa1vYRz
A3iwh7Sc0QJc/t4E6BdtkrfYyWPNVlUiypNW9NZ5R0lhuqSNdOxGTKUfSJFhAr5v368yo8k80xhS
5tpCW8WxTehQO79/eus7G8b8w/mP1x1HEIiDmZWbQJm0tpVt+8YFqv10KYuqDBxkxBXYxKTvVXDa
hjL+FnCRnXdDHs6ptjrpYtSw7xUbBu324Ii6lo6alSwIe2zsLGSnv2fSsrdAhkAfbKJ12g+6WW02
MjBowaVZhBW5iKw88wX3KhEOi67qiJhXTV27RZebN03a27UTglPqFkgtSlyA/21l2I2TPL3NEjvt
HJa0wac2SvVJX1aVk9l59oGWMff8XPluraNIOrIiUQtmfaku28wor3JjILMgQCJyjMFXqYubMD22
aZXc4ii4DnpFOiepWX5Z+fl9hVODeLTB8CBlj0E3WPUwOGbLo/MktPkX36yt05BydD4EXSPc1gyt
FC6Z6+WJwYseAkU9HzzU2oY3RN1DVubVXW0aDJyHtGJzv8zrE8vH+D4PURsvfGZAgGwIY/8b1LYV
jSNVbnytU5aCG1Lik1ir7ATlInmUTUZB7kka30nhd8xpcis4LfyidsFHyRbIwuIqb9NuZrVFPkeo
Q80sgcu6ArdpA56DKxf6s7QkhVdn4ir0jcD0ENLVMRw1uHWVGVGHVyz53KVmeIYLkd3ZpLIXtYgM
PC9pOiw51cUM4ljRMG9iHsyNrjOXuEza72WQZbY74MqsHRXgJph3VaRBONp21gdNzeeF9kMPgkTp
sYKPQszDKjQ86LRhTlRGkeEyCEI5TNvd4FhV4rukMlS6KGg8g+BYb960BFmeLAszcSLYSdWcVK0o
F2Bqdec0HobEv6nbvEpTp5dJr4rH0A8xHr6UrdGxFIJcBahy/YAhcFuRwqmrus7Myyqu0rg7FTIH
S1HUlX+SFlJmToQTfWcyg5xEEDOo3Row8J0+N0UHcKWce8r34TyskrjNZzRuA9Mtkgr5V2FuUqaP
4561odd3iajOaVkR2FGtr1HZujWchXNqhJF/1YDoUAg08IzDhiNxmc5VIgvhJDkcXv6sayR1DR9a
Em2n901lwd1vfpq6oahbf94mLElnpQ9WwdxWQTq4fLBBYyocW7WbhoUBAbqyD8rrUhppOtOB5N+N
umHS9EyNq4W0eM0vbcMP/FNFWMXsyFVdmQ89hAhAu4WzLAhZOvPLZsjnoiiVnPcJTftjsyzTzLVx
n0iXdXafLAqZS8MFWPEnI0sH5EFQIE49+J9pXCWRaZTwyJX6FKWpSE9IIapkFocVvR3qipB5ZGiM
zsI2LJlyWIjDauEXTabu4DAmp1Ew4HheZ8DBTFdJMMw46gbh8qjP2ouU97C1DRCVAmKRqD4tiG0n
XuCToPaYagBOyUqwT9QQkWGVxHABrceBgdQjfRpCMNiU1nEgGWQEcBznxJNa+t5Q+7HtGG2RievI
byPLJTKPBifNosE4M/3EmqPMD2xgV7Bshvpw0CehRC1EYoUVts76cw4SUijYPgHJ3a6VxgChLml8
LWC+cW84EuQIX6JByUE6vLEMct8nLa4vaSZ67SmRVxd2reBICkoWA4FICTwtX4ZIfRlQosLTvIfw
4Lxs7UGeoSqo7q0I20u781Pf4Qg277xWHQMnjA4SmK9RlHoQv49LCF35M4lk/iVpW7AsoiBq7kqb
tt+yIiTHDWsDf8Zj28QQj/FhHTvRUTdXRYMuhy4j1k1Z2egeVQZ8oqVGyd0K9aybNTiN5HHRYdye
KBaU+EoaTHxUZr7enFGUlwuWlGF53fVWxSHA2wI2YauAMQ3BVnQGJ5j4SCA2m85S0JLF2v3r9EkF
IQ58HRV1HN9iroR10llRW0O0rFobn2HfXduxQbuZblP4aq2HoXE6nFbDwozZ+sevWW9BPwFfWYou
LRsCqTd1bsOjgjBtPLgibkB0siSI5Y0qGIh8UYNVEMB7oFNxpcKrHFl9oRwCuQuAuy26+iI1wqx0
pFnn3byDoSxk1jc5XisNECYXfhEokE6gtZ1cqfSjD3ftnfJGSu7w0I5hX/QBXbaKABtdEfW3pOrM
8iwAMzc60xB/j+44nBaLUpnoMhdB/gVmGNPcCSGHgU81D0R95oc6aLy+YHkLBm5PFhmGx+pCIKx/
iJPYvu7q0tTHudk38aeWpkF5nPpG+r0fxFqHyDwJPfADOJlBtDws5xlNxSfD9NN52mZB7jAL1Fxf
tOGt1FV5JtJ1OM7GBQ5A7dkWHEchFh+LyGiCWYIViMkArrE4sZRG+SoFhdyfwu1FIBvtWmPPItuA
J9o1QzODQ6bNz1BRY+r6IqkaOGlJY4LpnUdfC9GIe6MHM/10EFWBHqtS9aWTIsSaE9liWKpLUTi4
VhvQ4CQDWFrXiAWdD7ppqgsIgiZ3UVNCdJ6Vx1baNfbx0FIAJzZROUDKKNb6QtHOOjcq09KzMFdp
cxb0EF10uV2m4T1YIuWjKRSoEVCdZePEIaSdHNE2kCNTfp/fJUGO5GekB8IbZwALrP+QVcQQsFjp
F7OQGXFwavhZ+y0MTKOBQGBJ4xMpTHTTlYY/LIoaEk4zOdSwSSWuInLdxclgX6Y0SxLIBjQmvbBQ
aHVuD9ZNOWvDDFBruZKBUwwsBd1RlskMdaSDBFmCebEYeA67P7a6gHm935sQB81Kmn9q7R7dR2EB
ew1OOvER9npaXiuhEChYnIloztOQtpAo/IJ53XLkxHHDPthY5a3X2kFlXVh+wpvb3C9FAYc77OhZ
JgmgCY5D351LUsX6nBVZSK5xZyb0BDJFAn5X1xnBRVwYWeulpQ86A6yxurpIEh/4L0QczMuQx6HX
dqZ50ucWyH0PSV/pWH7I9hMjuZAPhS7192ocrXwZrPzXf19Ic+0evx7SXI8HynS5fBmCeS4pWNP9
CqiII/BNIfcPjdHQPbu+LPBXQAWimpD4h6tgLYiZsBdRTagOg1AKYjaHugIOI0D/HU+Bthzo1YKo
A8xQgBQNpW+JpxC0zv2/9O3gG9Y3KBG4mQOq0SDsuukbRYURYzbg8Co1B8u/CHFlf+2QCVFxu1Aq
uNZGa58OdU6/0hAs5mNhqDx22s5ov4BElR9FaOk7IaQ9gO9Zt3pOFKs+laRGPij2hM1oCHljSxof
O0wipwsGy00wjl3c0WvO1aIO0FXd0HvIbi3bYFiC+W2BENzSkoNFRc0FTlJ5hXuWOSimYOr5Xm0U
4FtEhUMhC+AGRVO6gdkv47xo3LwtWqfGQemUkOt2+oEnYG3xeaKazjEU445dg7oNigKiM/5xltJb
q7FvU0mRF4Nv1/vd5cCLwBMNWuYqv8sI/hryiDjaL9q5UlHtBHgYFlwKcGgaDUUKln0bUXbe8PIz
pDLnMVXJeVroszqMayf3MfeskiHHKoLCgWOCu9kQ3zbglOXWkF0QiKs4g7IQFDOoDgJFoLdbq2md
IikhYEw6iCapIDlXOoWQb/aZ0LxxS2RmXm0Wq6EserCjumTGy/o4KaOFKSCdG1dexlg07w3hWlbV
ORzjea2rwA0jeAa5j1o3aLh9LBX8l9V04I8I/VFBJp2J+IZbocez5AGCGvdUV6FTVZF17tv+icyM
G5lB8rmxWej6qfah8oKeB+tIrk6s25DSe6tIIyew2SPV6mzoyW3Wc9OJTZ54SjH2P+yd25KcuLa1
X+V/ATokDgIuF5DkObNOroNviLJdFgIhcQbx9Htgt1fbbnev6H3573XjCF9UUZmANOcY35iK6lEX
kebzUQka92QaI1errRTWHAEIWVAejdHQqMeCdTJhbBIpncWG1f29QtkVWxOIChARqdv442UIuI58
0wV91Lr7vmTVY1B5c9KWw+0yjizynPyilqGMGos4SWGGd60pPmTj5O1Y3oI/cUnqt8ETs4NnP+Ox
3dJXWXG4jeufQcY7ywRpky1XWQpUAHYaZjd4WPXFHYeTDMubxbD3goXoScqFpu0smsgNy35PanPs
GR476hUnbeskqFr84VbwhD7XirCdi5gWcxZbrUjLqbx4dXV1wvaI2UY3YxcAIhnR6nLfTS2nee9a
VpJ79rsKhX3EtH+oR3Y1YnKAZgxHK8xSPjY6qbLuISj8D8yazy0b3uyseuh6f4+Dd07FWNI9yX2I
9pBnYk/jPsCx/iTphFds4TAxZjkktWJXfHgW9VP+3LReEVFSXe2M3jSemzZh+cGysjjQIYqPvJRR
5VQ3/aCDk3Lyo1/16ilnYRtJI+3IIkoeLTmgC8oNLG7QUrFfVa8TrMBNb+Qt7bJnoB0mdhy7jfLQ
3YXBcpKqPw8UXuDgvqAMe+0dFDYeLjrZt0UtEpmF+7zur50kW8hWOwcFSioyeR4w0C9SbqBSU6rE
tdGaYKGNjJcf0LY6R0FbddvNZdYd5pHOWCDUGFW2syQhmgjgQsETiGAZcY1yKWpE0aWNJP226vDX
c6V1Us+uvZbkB4sIesnxYkGZEd5V+dUSeWOLm9P789PSKH7XUiqPhVt42x5fwWaSltxRHzRAXeOI
yogDPyLRyPp811uOVUR2jkubmtDUKrLyqw72O1l383VV/0qGfe8Q/rAH///pPEIP/ett+tshTn/e
pld34d/bNMwNGIsEA7e930G9b9s0ZchHwz/EUWRQEL/3PXBW3ZqaI+ir8IN+yLC5/+F7oA0A+onN
NUA7H7j/ZJ+m65nRP+zTiO+5mFIKYBEhH4Q3V2H/O7HZz5tWzVZjzrODZyelWE39c+07dfaZLIvy
IKv0pNegswTxl51mZTkpoAPFtGHMLe8yO5+SQGXTroWuaSLMvPzIIU+ADcpeW1rel1lZ3ZiyxEO/
MDt1PAoyxSXdWTP2Oa+DIikru4qo6kSaD4MDt1+0m55BjRor6p2Woav2lpJ9g326VCaeWZfHRcHb
C55nJxpFeCpYXx5DJlTS1ZNJWw8gRt+UIPgqEFRVSLGlSxpiZTWH0hOnQPfZsRJ4tUsrLCMeOjZ6
QZthySk9k86hnydoAu24ceYypkANkmaWIm2CAdyMa71IRq81m9XBz4cHykBGZZULvUCwOuahsS5t
wT5OCkBZo3261V7xeSmK9/4kuipyR1rtp8zPTrVbmHdt1WcJVPgz7xy9H/LirYfc8mK3ObldZK/T
kckm8TtpwzXRwHl4qEKAfhndsIlYB7eeyckDw7kVuQ1AocW22fr+bSB5cV9RuZ9y8wBfRUXaVe6W
BPrWZ9hIw6xVMZw3luQa3f1SrqUEmWg0m9I60XyosP21ufcy1mjsMuKUxz4zFNBUZZkc1Ebbsvaa
496NUG3E2UDKgF7DacabuMBvgj4UWv21DsLGimzbtzzAGMZ+sOxBir09lsuhHVV4FaOpm0gvgeZR
iC8hu4aZRkEhQBqONCxPNgguCn3t3h1bOidfXtr/66vXOizp71avf0lQIJ/+1GN8/bFvi9d6HNN6
FMjXhcZZO4lvixeSfyi9cFwutk+C8v/nJiPEWZruGhX9QlV8W7x8sMnAjn0sDT7aA/sfoRPoW35a
vDwfrjDqJ9QYGAqGqfc/Ll7BzJtwCPLhWgAXPAQydM9YzY6Bkk3sDe0jA+3YFH25U9qXy1uuu8a6
HYyBkLyIGBqmvA1zkId9aW577h50V2lsy50AYmdgPpbU2gJbdSO3zlNejvkeCjeJeY1WAhoEz+Nw
bFRa+bUc7g2vX0LwWJHFfIiSkBmLuLY79zDO1nLwajXnWWwCI8BGl4mxMwubc/sZb/MC35NkW0M1
HBhahns58PGxDoPgaAtWngNHwWAQ9/Xg5PUmqAxJaxqIZGwtkvhjqBLtLE4ipbAjm4XQJMAYln7b
bxpOY6+3+9Sb6wvAujEaHR2mo1zQtGQ9dMtcYeWeugvtujDuVfPSTvxk6LTJiQHaa5+Jy4/Tspbq
RT1EAnpLVARBPA3dsFG4wxHPrH6Di/HP2aTZe7MUY5Y24LZQ5FrQxPOO7sJ2uMtL5z4oiBr2Ncut
/lZQ1exgncSqydmu8Uyn7llPUODlQ+aPkeNn7tah01gAQPQ+l9kw7dcY7HZQZZkslboxRXdhbn1Q
Mr80xD4GvZXqbjpYFUv0Aj2jAZJYAEEX9adJ2XeiD1/+u3h8CS+Qv1Uo/iXB4L39ufBZf+rb2gHq
CrP6nDWkgLGqWCO+WzvIb1AucCin9xXrwEL1DbsKfoNmgGST53igr75ECr6tHQGOrMGRJZgpgnnL
WFn+GfDxJ1sUqWYb1r4DrxB/J8iwH9cO3oL0LpxAXi3avHDRQ7cd5AdqvL2kgIILtsRdO2x8D1D4
6KeLw0+haS5TUEHrnipgVqKpooFbcesPdorgQ0q0cz+J0d4Evh7ikZsTwdbOLFRPgvaPIrDrWFJ5
yr0GnLDV7mTZvVZs5tFA3U+ZLbq4tiooD958nIPxUzmAiwxKvIhYhTfMgPWnRgEfHCyZtGszCokQ
9NYQglA1BN2XViZVGri18bzE5vI4zB5oXd4/OzB8E2i3nzRhB7AAa0Wj6oiPXRlVIHq9HP648sOb
JaRPY7YAVQxECUPYmkCL9vgvK0S88NqOqopnkZ/tHbCvxkej3kA9jexpflxyfu59dawB9Ob4TJE2
SDRUtn03iTIZOa82pbLPGbUfMiN7rEMoMnBUN2iPboShXFpB5LrOrnKMABBaPwVea8UMzOvAY29s
BL/v7aJ+D8vi0SzudOyD7lo7fbdFpwlfsmnfzxy6tCq3VT2xyB08aEQT1uTBAbSfZ8E55/aj03RO
NIjpamFI+6YshyWxvYVvlhCWAG9Da2vp4c6x8k+ezPQW9khMYXocNXvt51c4QwCV2WtnHL0dWrKV
A+D/FkCdfgxpru4lkXX5JvjyaZrzu8VB0sAfao1YAwDcAEVxccnwfAMPVWQ397a+2m0WXl102AcT
ZrEbYmWdfIbAhykikhMR525oLk6xQI0Vupq2MJafJjUlvqjyszPrN4jNgJA1DxukP4J8+W+L91VR
XZelv27xALa94kDy1+4XSx1+8NtSh2FmIHbXc0mBC+EflCH/LpPIbxhHilQ1TvogFIjp90sdusIw
xGlrMKB+XOow0RJZbcxW+doYkn+mxSLW9WOP5wUO+kiGKxFQCKH/U5mkeDCOcgz0lRDJdzXPtjnH
m9Y603HwR4O93O5O82DrrUMWZxvOw40qEN1yVPWhRbAm6axuJ03ubUKnNTGfmBMVbt7EQ+4uUWFN
dpL3AUj1hi2JNc3VTcPDp9xb2nhsHSeeyXKEg3lqPXcHdQfGlZVvG1M/ZdDYkJ0Jzktr8JLoctwN
sj/wqmhgnUAfDgRiD65/ZraLaBnqj14Et+Hkl4lqxW1P2lfbc9HFePxxrLw6mgAUwUL3x7gclzNT
/tOcwWmljvMcSv3E5vEYlvQ0+fLB8qpzH0x1DFPtnWozElkUcEQ2HX3Ey6DHppRbL7aYY97wtCeN
j/2gPtW+fkYY7gLsvIhyb96OMzorPBRIZQVdpGaZR5bfbwRb8ggFpkycdgaZmzVmA1l62Izjmocr
qms7zXB2ubPTOTq7eRoukxwhAi8T3XplnxasuZvLsYi9kqrYspcbJ2Mf7b5+KAeTwhmqIoerm9ll
qcmrvYDRiqRHd8MG/13eZHxTu+aZCSzNYvLqBBOwIXspcPWOMF2ibH/bt8ttOys/pbk8zFS+5QsS
ZkFvv4OASWEs2hmScuG1GH37IjN/Nwf8vrm4+Z4NWJim4MhMUcQ4ryoVPsRmt4GJ1i/Fpnf6EaZa
8AzVFptbo+xIarHFvqqistIfS5/ppOixutkNTWUAi4zwjenNThiUe1VVfGhb5w1phrdJE77jjXtZ
7cV5bDiQsBHpQCPdR8crQVKYwMZuJGKtmkPlsb30KDz7PG0DXqYUOMfGzGjlbc7MNviyDitv6DfT
uArO06dwKac29giqddI226VxOxTvzcG1GvT/br0LGVIl2s4K2PA+JHc32NkWV1vdzq8ADR4E0cnY
VUCY0Rng0cVzFD5pByGzvOnH+8alzUaEfN6U/oDOA2ZaTJeBbnpZF5HjybtwBDCJyNAaqNmrkJ2y
saNQItoiQQuP98KXwyYooM44jbaxXzKSWtKRMYFjeTS2us2s/KPDJ/e2z6q7oHVJtMJx+7rDZ8n7
CdL2Mmw6F4ExTpar1nhTimqekbirbzLfO+UVIUlNCjdiBb5Axd73PT10+la4bh21bQBHpcr2M9OX
GbR2NPbTIbT1J7dbM1CmeK3cqt74JRJs1myVSb3g+Zi8Brhk43Gw39bWMTHAbps7n8b2VBT7Tk8b
oRsTNxkeg7HKXs2KC9imOWdLSSPlWPdz7e6QBLLQruWPFi/fygGvDHKBeLZrL+1CFGFWVUeQbxzY
rvIBGNrncNSwIGY8d470tzAAQHmDvouseumjkTfqZNmzd6aqerCQkbzMI7AOgFfFxg+XLJmX0YqH
LEMmsCUaWMR4HtsyiMDFFAiEivu8xdPsuZzuW4nIkJvhjgP2ADJpllud1Qy9o0OjrhqXuDbWndO0
Q0JwpShfmiyyRjgNaGCydDR9keimd3c57tfo5ocSbBQqlea2cp0jAPp7kpGHzBM6ofZ4QEDG3jjL
Aji/021bXOuZts9liBDmhnWIUcbdUByHYUTH049OZadiyhT6X4GIZMhz97+Bk99dVmgZf10TfDst
588lwaqBfFcSYFcPAfFih0d6BLLqv0sCinNjAqi7jGFwEgqDP0oChnMZQyRL1mz2KrZ8a32+JE4w
CSBcjdkvOZVvqZsf1HkE1n////d0ub9OgPhB80UHtTKr8HtxPjNF9uXH1qeqpasNDq65VM4ypjXS
qokm/ouPQIT2hycbAYlyuc0Ql8DyvLERnxh6/i5b8xRm9eNqRCwaRC1g/CB24Uzlu2rNYdA1kQE2
5wPrQYeaCaohQhuEqymuB516tM3ifE122IS+t9asB11TH86a/yjWJMiCSMgkkJPMeHtQgGejwsmf
Kk+flAlfFquPZB208SSaV1OUkG6c15bRZ7zBdsz6+dyPYB4NSKKkbtY3wfDIq/T4ZEjwHgKROKqa
ZhvAoSwhdfGuHOR7Yvxl71Z8n3WWTlmw7JbGfo/l/ILsd2yYj5z0tlzIpgl1G3nF9G7IxUsgrN1E
9FPXWvzg23USdm5cqfFCC5LCT7nMRlxWx7ExbRmBFvuk4SkB1Wiihk2XcDXXtLD3rk4LxFkgGsW2
fc+bc+undV++NDZkXvyJ265b4JYhgydd2cHZQySwLOzgXeZmESLf3Q5pXxVnk7MtMuvEKj3tdI/q
JxPDZtLFXd2xEyN6SV1ILjGWyF2j5afWgmbf2x1MQ7QvLSoVNFfDjQnCHSkIQ3x5VNtcOW+9EO5B
KlwPwdDO40sU+u0HshiRAFA85UBtdVe8zgzJ5GDwT1MvrrIOL1XtJqzw1v6vOE0c7YjrJz6o7qh3
Z5ZI4o2RWm07vug5ZtNII1m6DRpNGAdC9FUs/BoPmwB32VfLTdj7r15t7bkl+nTo7Dgj8Lps29yi
Tepif030N85HYxdN7DbFnaJVkeS4c1btvPP0FDWVbDcE+YVTY9G9DPS5Lub3YzU/5l33oW6CCcyw
AXOIKQPINw9FbFpaJWXR77FMY39vyqdBwGVdAj+MRV7dZp3roMicdxWFRN8imxvBr52iUu8dG7UE
3PDPuB/gx+qr2+Yw78nWo5KAC61gVKNmMdK5Lxb1XlJx7Ol01osNeqlXh6zrTwSQtV0NSyRJvQ/G
4EPR8X2Y8y2EUBmxoHuYulUQtN4JzfZE6cPQum+wVPYl4VeYo+9VJ9+xssGXukwn12mPzqDPw1iu
bfZ8K6txO2fi5A4sUcu0q0O9p62besbdNTw/cJdg4zfOsZbTcerIDThrmQ4LCE+ICZMPJbFzlxTM
+7UeYHOYxT+0oX0Hqe1YCmS9S4MovqyGfTHaV5e0Z177V1WPHzthYAdz+77T3RNXzRFe0hmNRJJz
c6eIhKGPl76UwOUn8cRLf+txvauYCPbGU1s2Tjmejv7sqBASru/cugXfw4K7rawRzABp4nxo92NI
nsk8SRgcKMFDe7ibcu80tCNyyD5ocLVUz7Btd/4wYpfuE3tesO0jyelI9n4Jwu1kTZs+nFIpxhfV
DrvOI58XRNsjIezNAm9ZoN1D4bmAkr6zMdIrlsEk7TTQHta+2XEOllstm5bJY8iHE4z7PbJz/Voc
HkHZX91RHjNgblGh+XnCvADUiOrDKDARAUnri0XCbaPDSwv6EOb0nFYNoRvh0UdBh9NM3SentC6I
hd8v6y0EC/QBsyTwNvKNY09HtC5PMxmvDqUXUs5JDiR605rp1baga4maC7wnkIB63IuWeqkauNg2
QfW+dpyzCdFJ9KLdlbrYlgq8WMfoo8/IoQF9l+dF4nXWLdBoGtvug8+HjRDLh0L694vX85OCprsn
PLurK3W2FMmirJEbd/He05ptfTuLXAeMRNEzdwN8096Vs4t3mb+VKIgiX2lyNL45wQ2wgdGjziPC
2fqN10Z4KGrwPQHcPE52XTU8d5O4b9RyMgN/yNpupywIV/MUPKpJbPGZH7iRT32Tj0BVb0rIxgUZ
Y7tgCLxX89Zz9XXqOSr4pUsCNu4suSBUH+zbjsF6o7uWh/hq6NWCSRrlo7kdB/seEZVgQyBeJwHG
ZkQjnW5rh507if1+IzvLlhuA8OLRq0SPxZ/5R1shY14FckzzhkVVg2EOIhjxdi6nRsAzRUSjjYyp
weyarc9VeAPSJIiqflSbxRJNZEP6glQH5GMcqg8I7G9chgYVO4wX5aC6ktpG3hzMkvclT2CJZF7n
QegxHA+FnOFCWuazars9RiBIFKqqjJ2ipRETc7DxpHwaNbfRSbE2QY5LoR/sfCuqCoZZBBU/TbSv
r6qh/XOBLHkeobG30iGYvNtuUstBBkuN4ROYBCNQyLt0U0+LTMBhnianPYy1uLGDMnVnVNj28lg1
2R1v2uPQAMn3HRXbMoDeRZvnbAL/7vNp08KMiMYSwzRcwBxO338YiwE2bPDiZs55nAw2GZFUw5j2
mRcJp3uoCUTSwM9fsbI+Ihm6y6b8Srz5LSucY7XgawpzscGDpOPOQo528Y6Qzs6ZkE7MEPYoYAUD
mz+MA7bo1gxBwloMXiFeAj71rsf8zQgUxr7m7OTNYkfbJeJlva/CKfI0KRFsg0bICgfaRHXfY3bC
qI1J0O4+KDmpuLLKIxHTnhDrDGk7Rim0tedmj1jZ1irzPfebI6/7J+hLR6koAHrstE6QlkH9MSuW
TVHy2zlDpWC8erNk+aYFweU1/VuVhydLqbjDQzfPw3EI5UfmEL6mEveaiDuMu9kwW8QhnObIqdgu
n8l9V1rrIBnLipHKi4wP5RMIWoY2NMwKEg1hl/YF3VWD/TwGwOoK5AU9TElxQJigtGiQkpENVvfy
WYKs5tRDtqK1NyHaMwjicm/VxWMYZlsnWG4Ici9R2dMHM6F/LeonDaEsQXci0AqJT1mrxxgwwbDp
c+cyeeSScef9THq2EUWN7srfFqHYh4KEKefZEabxW228S19TfOJJItxh42HhevLiKfAn1FI13WSG
BVdN9UG5w0bLABZ3T26la51kPy8YH+KkXWe1UebloOM6Uu0wv+PFmwpzH2KlSUo5n+Y5GCBm6afZ
W25ri73YdpGltWieyYjyhbAhLbtRxqrDpw4yeFzr0tMgSDLqMN9xdIexV5fnGgx3iUEYV8tujzXl
DTjvbobhX8HcnjuUiJjMAbLts0Ggmo7NPRczolcLEAHfLiLTD6elXXdtz32eKV60ggQ8aecQYLJx
EQ8UFzBesQtBbu/nS3eqs5YBdHSeoP8jgtZmt2EnX4hAM72+7swZEcZR2M3LdnReghz0W+3e0mkW
p9BRYP3rPa/Jg81R0WiPQD0athwaB6nKU8PJdvBdTEXyqs9DAEEB2bMNd4KHstcH0RfHcmSoM6d5
09n9s6HNXTjDhVO1fykov1RABzGGwRzVXDw2MnxxZ+cuwDp89JxCbQbOdGr37stShfuwo1ZcEKG2
asQvtqAUYX4P+EPljrsCY3yiTtXYHTHDhTj3iJfaaCPa1nI3gTSuXcSlw6yNTUW2FPF3Hd8vWii0
Yt81UCBbofWGOC6QYo8PHUZ+aqBsQchs20pci7qOlDp3sFND9/7vLwIW9xcXYdRFNNKBI7N2cd+R
OWU2t47VdeJKDPiXM7EgLLoP/fTw95dZAZ8/QN3fPwv8c+CIyAkggf3jZTJCQnQBBIW7/XnS7yzn
PwUQ//z7fdvFyS6IMuPr+vm76kLDNOZ5yaua8KDtguz1H//9PmhmfEP4oqB0/wQac19li+M11TVA
34FZVeFXmQP02q/b5R/F8z9/Pz/da5eVUKCwlMKf2VpVXILE9BMXgu2bLL6iKP/kUgj+MkS+XQBe
3jpD+/s7LgOocxPG1FxJsRtaEKxRvcrfMbZhq/7q6PzltX5EJ758rB9uy/qIf/d0ESoQ/WNSwj6L
ww4VXYxXC2uqGdO/vz+/+P5+uNBPH0r5RaiH4OuFHIFhMtGcp9hH1q24/g/P2i/eS5wyRAlANpwm
Za9ny3z/oRxP2Robr7p2yGjB2pk3Xvbx7z/OL16X7y/x8+O2dB5qJY+oqwpei+zFtf4XjzNYQCD9
IZLF3hft5rv7ghFMXu9aNmbnYAV0fMCu/4vFC0F1glNrMegAON5PxreyFOp7RvV18V8n/zLABSb9
f1i7fnXT8RD7cPjBF9JV4/r+RoR5hVEcwQKTA4WfiYEcU+92xOiwOlmc//Ak/+JaASgj2wZJ6VPo
Tz9eC6YuRLbCU0DRUJNAVMYwro3fRBo11t2Xm/9/nRXzsDh/9xb8acYOJE/9C7kTP/NN7sRJPqtj
CabDxuDhL9Nyvsmd4EAwJBKTw5E2+WKB/iF3Br/hfmH6AM5sRKNOVh3ym+IJUAzgGMZJYPL86pz+
Mwc0XJ+BPzY5TKoEMQuSjSKmz/x1YOaPz0i3EGEGb2AX6DRouuCgIDCog7xxYVjwERHzJRsgv1g2
y2US9Jmvz4ZUQJwGgcI57z0izxj0SNAZ2xzX4DGGeKHUyKzBLcINpD0bmcRl8jAqbuqLATn5obLw
tBPuWlVU+lZY7zu3pXArRo/Nt0PhQz3AzsJTf4Uchlk92WQQMaThXb/mSboViWhGMmJ0VPuFNOnS
bCAPBQiKVjG5wUicBMmyO7VCFgicQ24Dd1Hr6qia7ISC7tF0NTaqFdGo62o71HvkD5CiXiEOseIc
5Qp2yBlls1hhj2HFPsZ5earAgVACM1KCDLEGICL1CovgJKc6marggPTsJ3sFSsQwPvcrYkLBmlQC
/VIF+qRbMZSJoRJkK5qSjU2P3mGZk7JnEm0mEBbjtV6E0aYb4g0mKVbQZQLxYrnzUVqCxwOS9XGV
0U/zXOsYY4zSgjQ7sYIzQFpPxYrSiLZ9HDzMyyua6dQNJZCbFb5ZQOFYyF40K5aTlRm6L4TSszar
926OoOrs6kth67ummeLMr49wauN8LlSEPGFEfcQswQG5CDZjXtqY9A5AevB6MnchoNb8AMMHsEfA
orXuiOx+LhCo0WUaGN9CnqJHGhVpjVK2xYmYZUs5fxrgJscYQyjggmELtBi/mf0Wwbqwj2nTo+uE
6dmQ9olrgyex9I7G0PseliGb5RgVM92VqrjjajwJz0mQpcWcQ8SJNxmS31HtWtmuLbM8JnN4Qzzt
b4LGedOSdjuKnFnsKX3xKPjg3EGWxCnf+R57XC12jLy5Ijpbx4jmwKqTIaQmWaSFrB4nOJ0GVvZA
nBcC9T7xkTUYJ3k/l95e8QaiRQYhM0eANjZdMeJBt/NjXbcInocL2eXT9KR82HKF3cODnx6p2z24
HZBs3i5blcNU7rzYKsD7eP0HTF5TqOZhVA5+CVmqpImGv504/XCP/reEJEvRyBm+553Ld03f3A1s
ecEMhPeNh1Z4FvAQQ8xW2xQj2muXDO9GASGblq5IMDbnYFn6gEEvrwoRrIhwOLu2pvehx6Bgug91
R7aWo28m9OjRLJz7tU5OgpzAYZ+tC6yzM/RoK3ZKkc5CPgnXR1NCzWvFl3lXGr4bxtbFML4gjJWF
eIhTSZ32vXopFDJVphOYXTovwTGEWZ2ElKCfWtoT0M60QpOXZrZE0wJSJGIWFMfOXCl131oJkVW3
zQWBq3e6yfJDWzlyw+j8VorwDo4JZoKC04+onE3ULebzNMI/BOqBOYXcduHL+4iEdT3dSn/SGIU1
3LMMyTFGUFcAbYXSXQsYsJjPgyEk+a7k8yvLewX4XqnNzEKEXpoztVyML5wdzP6UGC1bGjxQmKSx
WORzO7lHrsXOLPoFQXMbmbxm7zsl/J6ZHuGmj2kwW2NiDwjDzba75z3guaXAUkLt4kzL6mAwzQ+y
3xGk3m3RAsqXxT7vm/ssbz73MwpTNbUno7Mrs+qHOsjhmBv4BiTn7BhiXcTaqPHmSsQG9DBti1I/
KQ0x1p9CvLNdBnR0ajfIJvcY+To9hl0/RIO28E6rGr9clC+z0zt4Hee0HAYClQ51aYjQeloazPGc
3qZ1qAgGM4iNMu4xZ9XLbPCN0nC4l1Nvb7JRI3YNU8DprEfMlXrLeY9hEaVPMA/S25NOf8TwmPdL
Sz6PFA8DMlAPNXQ+RPGok3gS7BqFCp42lX8zFhi24WQUEP1kRVKOmA1R3uGjJtOQX5fKhT7vNgEC
dpYdLdI/+WA5MfCG7AddCrjWwbx3J+/errPnHG72tpXirZo6zGNxJ8TFpkXtunJ85yhMLGU+Jn1M
czuG3deC7L9V0sqf/7UxfNLd//sXjkCWb92fi6X1R78rltBug45fx/J8LXv+XSyBf0UxhEbcwbwp
1Ct/FEvub4G9ArBYBzB64csAtW/FEs7aCwNUSai+4Cyvqd5/YA//2EOhP6cBIZjhBX4fWWCf/NQY
FsjpB5MK/4e9M1uO20i77ROhA/NweVBAzVWcRInkDYKSSACJGYn56c8C23ZLtn87fO/oiJ5kkioW
KvMb9l5bXHtsoUCgo2Rn/h3gTHd5IT8VZOtPwXJkQV80sT9Za3v6Q5vTMHnNrcUS164Sac5pr9IY
eu3sbiJDz0JhALyqIDecndgF31EnYpMvjP9yXdyrdXKXp+5Ot5L0PKoq8gpNsTaaC0qUZZq6UWOE
+npx6Ifkkg7evu61s7qMd8AtLs1SnRis3KRtfFRFNvsFslRmao23ddYLL6KigAHgfdcmECLgU/jD
LgNRlPfvqTW1XFM2qN82gunsR3z9RGnHwkeL7OMIcGoXjaDIO0XOvvAYfU79UiFmQ+q5aXXzM0wG
Z+fklvEC6Uj6CgSwXapmiR0mfVNT081sGqtKm4N5Ff7uY6+OxEEzyg47lOFe7VnO087pM0Qn6DxR
5Ru14X5e9Ia1aqPDgVEW29pp1YjmZYMZEAIF5VPRzZGvTpZy4za6cuH718F6K2UKQ+NKKXduxU1p
91HLoFxHXOy46d7IzezYT43t3vLzpPFizbEjT/qMOxlyqnFfQWebbhNNIAKKZ48D2XaOA1rdZ2xv
5pfBgbzKLA7fTlf25sGtMqtl0W2Ny95NhsjeqKP0HqvKNXy7NOtQ6VUz0GuMyXnPJdLE8XwYdGu4
en3vhB2/8zNFl3yVSXyaZlZ588Qe1WvSg6IXWsi4ji1JPoz3y9AfhUoz6FWadx/PloZ7IUkDd/aS
bVUX6mbKTGb0WuA06ReWLcOZt26AIJ+ysqOWD6RuI8rJp/QINwwCbUcp13W5tim9yLzKZKBZmAGp
ME3dj2bpBMmky7u4FlroKsWFATmyIYk1BJmiWVkHTCoU63a+B7afBbGh3kpvfOigaDzGw+S+Vypk
XpEF9jjZ71XaB1YhgyxqtE+q0m+5vraKXmWhp3AxITMUKPF8adffpezeyrR9m8X8GTxm0BrD0ZuK
LQcILrtlZ07qZXYHijI8qJbOKDkJMLZ/pey+NIWyzUctNFp2Hv38rWTdHFffQGxpwWjnxm4CHhNk
1vBs2enXfGFfB+1LHjuAVnB5lrNe6IjA9Ytd99xQ2TMQuQDUEm5s1+FitLex7u57dXmeIhnGBQrs
Rm3Qe8Tc/8BUDsKCCQi3J7Ac55bXeG/1+OumdImDtI3kxhzU9JIwgdskkX7X5aW84L85xfrEw7yW
Nc3EtjiCLY0n5uTxIVJRWeteG0yue3Zr4wzG+ouydJvMch4w79+VTX12+N+D7p3ZH90lXnrM9TpE
3ZdCKcMnPmeaLxJkoT34uVUDds2U7KXKtJeacoX8sRP7hCMNyx06zQDUSgDf92KZYtPkzXxiubwH
y5hAlpm/NZmz75G7ei1tWILebl7Go1st86FZyvLYQVku5sihcCzzYI6p26zJyHaNV+8iht/3y6w0
fzON+xPDJ9E/QPfI8nLR/vCfP5+8yaxhObbz9Fo1mQ6O2mNYMsxZUBRDDrPdQFSOfyeukJQW9fKm
1Y28a5pM/eSCPPCrabrv19ZmioLMc76oU7fDvvPOmjoGmda2YSyQ0tpYlKqFZzpfhZkR08VRuKhA
mkEPHLfbDxWkaWfpN/igP+uYUMNB64yNBooZHPpmbDZyOmh15vhdVO40wSjHHG5zFMqygKWQFw+9
I44Aok6LzI9Nr5+dujq7Uvd2HXL/QM7pXp/oTeSANCRC2pOYYsfczkG4Iu/Nudc2dWIf1YQqqTNi
9Rx1WueLdnoUKX4vz+7Zus4oF9Kl3DS2je00zS5DvVwTKQ7ZaO0sxC5BmjeHqMw8v3fp54qVydaJ
0IrrM1gXDGQl7CUEFNgc9txrLUh2Kq9qlttKtDeZyO+xydFylwM8glKh+a9VOtX2lp3mEBTLispv
xaM5o42Jp/TVU50TILpVLVxv3HbZQsv6DlR+p9WgqU3tWRRsHQ36buzuI+eQIavvleec1YYxQuwp
3yPNXvxab3y7lxML9UJjW7eeZd05dewnXc23rFIH31Wy57nQtY2QcxaaSXxjLJbG9Ja9nVkLJLDg
GolYQEIOkbe95DCfDj9UT7f/nc78qFP7edL6UYjgEgTBrK/TXNP7XYkg2ElSnUKHjPo0MMSx1f8O
4LiOg/83FeJbIrJjt+LS562wZ+13UyGQkCUjqDi+5jaqXfsm7dN9Wt+3o+BJyDepDXRNhH/9qpi0
/s1PXV/3D6VPX2ddbRqKcmEQ8oA1G38O/4Vb8Sk2qT3IBhGbzrW+2JFxYB+dbQZYfnwqaOFUnelm
2S5PleKc085UNwCStrk3al/dBIlVoYpHG5R5EGfzycnNZ/q96ajlht3zNJVV2C9OGbq10gQam/KN
U87zoZ8c42tVCkD2SwF/Kk2/5TyrIRy9JOAEnoOOncVm6L2H3kQgwXn4iD+RKInYuE3m7jvdz55L
6ZNs2629opl0S+wNNVFCoVKhsAAvd/PSq5umsM2gHeH7O4BYYBLQgKWgVYwYmoY3n3jo3xs5stir
00NrKvt5ND9Ni/hiqtnR6hDgQbmN8SCifRYdlHi7tw7ZIk76CAlqjvTAyFWVCybjlFW/DPiG/FQU
FzeZdmU7htiaeILVMOtiGH5GHVSicP16EW7Q5tEFGRjWK2evVUyE3Hh6gAVDAVcrn/oOqL1hIPBe
nA5RGa4Era9e7VWxpxZ3ZMfgkp86X2rHwRoUGCYoi0rWtLWmPZZzsp+iacKu2V9rtj+BqK1Di1zL
bVSmY3iOGsvcxbV5dhAs/c3j9nfP+FqI//C00WU6g77wtIlzeRtflW1zaj6Pu+UApeSM1ijZfNMR
MRy1S/kynv76h69Z33/yAYMejr2ObenqSP7xh2s1YpLMNZVLHVh+edY39ZZluXZSvjhbNVQfb5TN
+csQCtQer/xbfsUx5x/TbXQlDqb4m7/Nz43Nfz/thkp5iamGNsr63aJwVke0KZpIrol6Wxs5vLgv
7bD/61f885n1x5/xu73H0ha9kiTYUavmLQZqNN/99ff/09eADthh5WmwF/7du1lMNnMXSI/XSrlt
PD4PFjXnf0+of9t3lXfj/27f/1/x+r1q/9i5r1/1a+e+Gr3YVvAI/YbP+rVzxyrPXsG0sZWqP9vh
2XKo9OzsvhFd0/fyIfm1cSd2FRYXPi8Te5ZNNtc/adzZnPz0cWPLAcGZEgB+tMbFSTrXzx+3qraY
Hc+RvFFz41OGf0CX1qkw5V02YTUZV4tBrALC1cy9mGcRFKsNgTp93HRTT0nd1A3Ih7EPQGPeq+bC
XLwGCjGanc18UcNvtTo6PL5XSdJKmGNJOXhxq/t1kj+0q0GCO8b1tWq6KA3miaIUNYkrGCqUyYoC
ZzVZ5GukSduNzVXFgcEmxbo4w1Keha53fmVTmcQRIkZ99W5IaiN3tXPYCZ3k0pafktLF5756PlTU
bA3iwMjt4lBmGssUs3iDsvwZQi3DM93aV1hIlNVLEjXysqzuksWKv6KLZ9jO1mHTYkEp24PQztpq
S0leW2PTefG+qqI4GJH6QSzBx+LMGR1NPmWBvsg6rLG7sKSvfaKQvvcYYRDHjb6n8oLaITpIzDKz
4hAZVobKcu7x0Uym+2Lhq6lWg403W2rg4bkB2nWbriYcc3BhzU/aTWa3q0GnD5md8JYYDorvOJYH
ZzX0wJ2911eLj4fXZ8LzI0sX7ORqA0q1RNvqqzVIOgMiKxvbch1VXZivFqIoA+nRqu5Zx10096np
oyIPhFtiLpO4uFYrUmMAyiZoiam+B8EYwUsTxqt5Ke5UYxPhZ4qVFa2V1rtGFUeZOZ9Mb3nVVhtU
MWc+hBgm74kXVHrCrghyLVuJGon8sArzm6Oh8VoW3FWeQQhWFmklRzBDgQc3wlbnthJNMvtos/2W
ViPC50G55QF/9SpGFOT4lMck054YJ19ayLuB4pqg5EfjDc/cG8yZeSu7iRGEdKO9M1lfCz6ifsVf
ZZOtI3b0S5RZsTwVrnochHiuF++0NBpcgCrZVaNybtBe+pJ+iWwhpq9VFrH7kfLaiYWPz/ApiaOv
TeK4+9IAPyyU4oHVD5WB3n9pDIewqy7euxb6pxlBVDXbxdaV5cGOrUcYLslx6EqbJKflge85nhsq
BGikVRV2sd1uPsizAzLfrQYZbmtMGKVUO7IDLTK/SNqEzbD0PctAGkap9xMyT0hnyYwKL5d5t1km
WT3FahTvyyRpb4VteeR3NcFUztrW7YGW6QvQtI4ovEFgS9KrlDeoLsMoF3jC0owFydzpB6ZBuNwE
JR919kFdGCo3LooyLcp3ZGqZGBeM2edYJJELYKUU3eJXTbk3u2YvFDsQ1UL/JDqYF7lCZp9ldhvA
tPS8ZuIEYF2CziQhap0oKKZ1K2LPr+TwqE3iZLX9sTLmq2e2D4PD1nGRxS4hNcgvi2jxy0y7wpFD
6I7REhfqbWH2d1k8fnaz6SKL5UlGJvsMghH8ohKf7UE/MvXYz1J+WgtXv+lL1VeryvA9ZH2ZbEJH
battMTNH0dvpErXGHVyhVU7IDEmvjzpTCH+W/btpRS9prN2YlbgClL9tBMM0d5Bfo8hC6ZgtT3mC
k5yRvBtCz32hN4WqicPP7/T6U5WYp0mp18gnnhqknnP22egFaDzEu7hsVzsX5J2jZ2Hw+ri5/r3C
VQqe//sK9/uue/uTG5wv+u0G55qGPkPwhIo+SIdy+T9fls4fcXF6/Otj+v7b7J1ITS5vJH+ri5pr
+kccl/efNfECDA1SHQaM8LP+wez9w/z1Q8W8XuFUCDahJqv/2zTXv9+PFfNQTxKUeGLcyInubpmG
w0jzH2hka2Lsb7aVQRfcdvMXpNRGIGPzG1GR545nK7BWWjDYP3PXtSRzYZz1SxUFvlBbH4V2H0xy
uE6tLQPTa6tNVfVfZ698TlKct0V+nzEgKefuyBLivqm540WDhcOrdYlDQD+XkLH8WHEeZeZVmxwJ
ERzf6HGpxBcLSDnnLSF69lTcWLFxo4126DXV0WE8klmLcVgG1vl9prubgV6MQJNQd+t3qDr3/Rhb
xxJLej23X9109j25fJ7g8PgZ40WfZUDm26T0BWw6WXDD1XDq5POo9S8ZnslNkiV7vWcFWEsH0kRi
tH7HeYvFwbhmRXPEVoQ0vW3fmwGp76RUnJi5e5NCTNyMcXMjrKE+TkUHfDfl1neKKoMv3MaEK8XR
VdqVio+ox4QFUvPdhVl1HUzn25Lyy0XYm9zpCDD8RLZvCIy9i6jyg+WxnIv0esZBJd0bmU4FDt6R
dw2Ti9/GoDKzghA/rrXE50i2d+kwwfZrISObTFzv1NjQdkstYobq5DwW5ZojOI6VnxYGaWRzTnNt
wOVUcKLsRLJGdCwETtgTvnqOObjSkRZo0wyYwoSphpEn2prEP4WAxvRdVxlFWBrijIHhtHSCxEft
0M3xEqSF+45U1vaFU5ihIlMjmPtZhFrkzLsMXXeoioRe1dSYGBKbtOsEJlsxtSRC6RhDirglcwOg
+T3wChe1iZWEAGdxAKpRFLCWNnxpGModIDbTLxZeaTPZKJXhFmzdWOk2Yh5dCGc0NAqYdLjHWXq0
uDJ3sZ58mnV5y4K2DOFczuSe1l+rHOF3mthsWxvPPNYeR3GsrdEyy/orSnUaWmmJxxImvC/XyNV5
DV/VJ7ie+RrIarlUlcka0prye/eNVun37ghiIxlNimCHXNdsDXhV16jXAerZXu3EtrfyMIpKblno
0H6BTdBHslP4FCXk8YmRWcIaJWtjdLxbiHcVU39vj0WGIHpNns31/EqqRLcHPP7elctX3H3Jtqs1
xDZe3l5SINIbYzXJtY19sOcxOtuKM+zcqDTvdaX/nHpVpwTqRyZu8pGPm5KUi/AoxIuE3yQRhNih
bNop6fxJU1DdT2yQNyqZu+UavjuuMbweebxgS+BFkkMCtDMO0zW0F9nMPjWMx4HrfQPe6lPRiKMj
ytvRkRtFcS7Seokc/dRX9vBEWfw22t15AiDql1BNAnfsx3OPU3rveYys0hZNUZypZ52flhAQNgzm
ewNwH/97flFHVfMHz/m8uPB0U7G4fieL79IhRIWMhUMl5jsSps69RRhflQxGUBZutctS6KnTkFjB
NFf4YVKqoZZ/vJQoghxpWNt55i3UEAT3SvyQT9GLWvXPtcnx4Kr1EDhZe0pH7XXKsOvIzCCfQyLC
0nqW+iR+NpnZromdq7ULwkIuB6LXxi89Vt7AUcxbb0KaVRVOeXAti3+yU7FsZzmL/Q4wr1D3sLnL
zWBGCJaq5ib1iBsV5C/4yuQF3dS+SRISwXmmQZTo9jNUq8IKq3K6lHr3rTKdQ9lbTyC5rUNasIlo
l68QU4nLqKY9LzrfJrra+4W2BLntXBPBKeNV0PXakURNFB3stPZKYzM5a5DepIw10/Gu7Itzrksq
+TT/2uHydErjqsX1TjGbXUxMBu/pZso1/rf1mrhpupFp/y5T55bcnY4UzfnQFWYS9k6+UczsjmgD
hbuAXE5jPiVdfld4SqClyaecrKbEJtu4Z5fRF+mnPO02vW63iKWk4xfzso+IbklXWx7jZ+npG7rc
t6gvZ597TJl30tWlS19EkGpsl/cqGq9/xxu/oGwYRv3ftRGQ5P7PkOIqX/VDceR4FlshU/8lHvzH
4oiJAuxPFkbmB7jvN2QX6YoauW7Mzz0L6YDz03xjBWwhcgClv84+vH9SHCEn/cN8w1E1l4klGgnK
4w9RwQ+zTHJXY/IlIvMmW2pnPix2VRhfh8ToohuyC4yioNhRdCwG63PaJw+zGZt+Zpt1UOpoe1jR
p9jUmizsvY5NpVWoe3XMOLcmg+pkqF61eUF6aKWvS4NFpzDIGmulfUI1SXREJG5FA7A/jrqwLqSJ
XpDQAHdG7ZZ6VFXQuiIWR9lATmkxhElLYnBidycE1h66wvTLoNl3qYGFNS8QN0xBOSy7tAE8NqgF
e0xR3S10NZVdIRSV+NryCqs8aa0bjxgDTtPl1RPtnW036r7nJKed0W91tYNNbC7VlqSQMiBLsSKk
p3lnyfraC+BghcLmfH6DNWMFs8WeTTHigITJC3qsL3XJKpbjrd6bkmim1mCtlNXwiY0KPhA22Haj
DdPJWFIR6u3y1rsRsO/hpHnjTkMyJWsWcoYMW7KEuN0GbhJs2+2Ac5yPdjbSvcFyplLFwI+znrhW
/GERgD+HFSzHA4qNEmxhvS84OKZKfMo5SNDN3dWteiL8Eg44WtDWKu4G3tJ+PYPUKW3LXado7ta1
66NmFV9LmTAEAafKHXcmbqbcmNzv9hHFcnunTdQ/L6xzkKfBV43LO/bBc70rNM6cWM3UJ4CFXuXb
Q/YNuQqXJZz3VO+/eTLZOroXo0vlj9N+fKPykezDJpLg8X13c3I1y8gNAR7N26ZL3keFg0648zOw
/k/dMt1pg/ZitPURA/5zOghvY1sSoVpsfk/16Tiq8fySJ1DvYRMQA4YV0l253BZCV2G1d2Rx7OGH
K2fCsT7NKS8LyiTjsdi9iSZEj1C+6FCtoE+wmVqZ7aHbm9X94rxrojJJluk+Dx2xIpjx9SAn5iaD
c7uzlJTUKvK/ao0wbAL4NkqVfIuzZkF0MS9bd2RmJ+Z4pyvyOR2rfcXHZlOuBHlifqgX5MLgYlXw
EaExjSbo7Fa5nSPlCU7w0a4xowpdPFpREhMSpDsMrhgbkDpGKMY+dzKHgRC+PKAlPiYBIloQKiR2
9i4TnOSF+TpICp6ckUU2iyuDnFNtIIOEQnQqx5zlvmEMwGW58xOW7AIpwq6ZyNLAPaix+c9f2Tc8
kwMdFvkqvoufjcyoHxbFxjy1ph8zF3x0lORhYgqpeuNTk5jpoU68wzLhRI/d+hRV8smeoh3BCg8K
fvrEcG8UT94lqv1Wm8u1KFZjNM/mYs9LUGtlHxBXdj8M1CYkvMR9umtF4oXZxPaWT4/9Igd5SHTR
30cu1jukIVvq/5ONq/Tfq+2/V5v1l1fbZzJH+/b1j43/+mW/3m2a+x8UdTorXxXn+McU/tfR/Uqq
5N5DDMFzCO+YLdWvOEqTvAwe0vW+wY+whoz+Nrs3mN2bOrAWUji0jz/6B42/9fubzXN0S8O+xpbM
gtL2u0XZpCrx0LZlf13mbNMQHhCvF4Bb+D9c+X+yUtc+3Hb/W3kzX2C0rLuAeXEtQv3+fc6plndD
Ywuzvqq95T1mSaPYm8JBo7VnQY46y/hQahEYvDwIHbG8tgq50ATGz3Ul3GO7yrw0h/l7/V/tFyow
40MPZn9ow4Zs1YkNH5qxMWqGYSu0CqWVOaRo6ZT8ZhS5hGNQ15VOTFQOfcFVYtBaqYzKpzSbvdBy
l1aFVPnNys3x6ph1fmP2ap1vkIPk87aK6I9WTpqSS8AeJLRXxo06aFZ2HnJx03bZSEJYOW0S75bu
882S9fcSgFsk1U/O0OzJd+UMtKudrvIqWOWGHrW6V4TWVBwitMWBQdMXSITs+dy8I3C/X2pstnr9
3hvDQw6HOhzNVjw7LFiYa2b9hWl/e21I7jrmqXepvSIPl4WxCQZr490kCXFPgo5KiGhTh8UQYZ/O
FSvUR/didN5VlnIMiGEnED1d6M9L53HWlKccBAz76cRioNHFnKO9gZoQsH/B6ESl7jDXb9GBSGBt
8Nia5HkEtlsm9xJ1MJW61obepE5PZp7O/Bb1iu101reBqbT4LazlvrE795goACL++hnT+ZD9PMIi
NRXgPZB6kw8Hj/XPIyyQNwj3gDRcZUgcA86Uh+UBjZPfbLp9uWe+jgItLHZO2IYli2dza4T6Ptr8
kkrwfxocfwd4/djFsibFqWtZqmoyVfv574FWc+xjSbhppMdHpJ3TJosBcNWjqfuuk3lhM0TGtqU7
IXnaVS+x00ZHjfcIakqxmR0G0pE6g4VfXnD0e1tJ4gWi/pqV0/LigCT2Ye4gGF2mL01eczW10Mwc
KYyAQlX3tUQUUFWncDagiUDwExE8INONmI17+xURNuv6zsQ25Tddy0PhmdRE5V5M0JgMLNaVSrAD
MGY9gp2fEWkSrMof2HiM0gdAtBO3eROLjKlK/BhzU2tGceknElEUt96piAd9x2vMba+Kh79+i1fl
zf8OEX6zjEjZAdmclzblvbeeZj/U4d6ij15dRO0VEp/YcRDkvHgVRmGahFbFhslsYo7r35qVPzm5
9FWL81c/83fvpjINTjtksbyS5PdsMU2c+rgKFukQKtZfsEeoPuuU2nca0N+57EC0lTNyxx4pnmKd
q9R9UimMCWRU3qPM3NZNc9Er+06Nlm9W3LwUUKWAWjX1f1UH/47i1+3yb+/gHyyDDxWl1p+YBtev
+vVKZmW+ksg0G3QMpfV6uf56JUOXhxwPJM3EpvoR7v3bleyS+02Yhqqjgv+YuP/vSnb/w+odz8Ov
Dew/msVr7s/SmY9Z/Co/QwqvW7YOr+3nx9x0C9GavT7fsGJubx0xF/epVjtPxBHpx3nMUMhpOGHc
blAv44wRZ1iGJNCsYfnseGP3QEBhvlsW8E62V0Who3SceGmTYM9Sr3meeJfB0KKzZXntHXhmvn6g
PAn6pYMvU9XTXnG946QvZIx3CfLd2si+paSQ7kQ5RtjoFraUtZxeCrbjx6pZKVuoDwO95NSSrlvD
sJo/ezpApNx4naPCOfZEi2w7ordOJXa0kAU4+8QO5PCUkxYOIAoqcpaRa0VTkqTW3rDXpbxndJim
xNJxbgoBfkNjDU3sXNAsS/zuiPo5mYiqXKJhk2b1kU2gB9KjzA764rHHhml3G2vxk5rNx7Q32q1Z
l3dW1ahhqnbKrrPj5bjEvXFMEtUJWWifNKWRB+RtXoB+zNxleWmGg65He1sbXD+14uzYwHf2o2q4
W1qce2R0536vWIuvWBa0FLfCpeldBYBQksf57SjIcu7TsTaCItW0GynJziIgtj40iTz2unhpamfy
i7wrfeCuzLzj+pjEDUphzIsJLZ7WIjvI1G1ka3thQqRU2BFM1rBjdYCjcunrV3zh4jJ15puSsTVo
VMbMBWOTgBgQoG3xA3OSu8LBUJlN004f8s+6GDsPMlRH/J6e3wyNdlvp4GuIGmWyRluiqLtJ7xBy
N1YY1fwcnAe1Tx5BfJHSYtxZFidpaG+WVfVbaY8PQ4IvQLKlIF2RoWpRqDdO7O3LotoNhnUWE+XJ
qO4SrccmmZMNwKKZ3k1slzi9KZa0I2Ko2Hrw8Lik5ouFS6DOlEf8G/B8JvNkRz1/0kcvhd5+NUat
CbzE/YbBlIST+ZEAJ5biUY0PtSbmBBn9XFxJ9saCyJSo/2ZS2W2owqGhRdV09say5lNRpNlZs9ea
t5/zijE+JEGql+kcw605fJxB/x7Gax3/F4cxsvQ1GeGPHdL6dT8cxywctVUTDkQOLdEPx7GBU9vD
MwCL3eDM5o9+6ZBMlqZkBlqqbaruLyFGv6ib2JqyFtU8l+7pI8XoH6mbiKn6qQLgOMYohL0JCR9x
8fxV1ungD1UHuX94fFu7up1a1dmWgzmiRDYR9ZjjPnF4foZ5ZivPXuGGF6GeiK9FcGCDZgL4p1ZP
KXz1i+2uRgvDaB5Eb5t7i1jW65hF9fcadC7GnCE9J7kzOx+bpE3tKZAaC02ZbiXbs5uG5OtnRcWN
oUWIxDZs2vhglFHJbKX2vrscMiROWzexpilHPU7QWbp28di5s/WcU8A8jLpFXq5MEI30ZUWB1isI
P6y5QhmgAoI0pP5WWX3+hN+83MeW9AI+JPJ1YMJKIoebsnlj9uaIEYBWMtR3I9ScvIeKGKdxHQyj
Zg43iQIh51vF/sY8aRhm5okzP+t32tL1ypsZe6sG0lxnSWSIlu2Ns0agODGGp4dEeMBwyfZoIBEa
izNeifCpIELGZjKZoC1hLCHCGOpRCdDU5FxtSgmKMe3z+Sukv4buZPS2XhNNz/a4XjuKA4Jfmexy
G7OqO869PT+wm15eyYjmdC5h6ZzikYMDoYW3i+oh/sp+Pt2o5bK8RjJZ3oCUPbUYIco4PSoOTVeh
2cNmtNp6r9RjrPmu1rOgnF3lFGvdfM6qCblp52HamoqKDO50jNOtLDo0pc2wtq5Z88V00vyQe9qj
kTUJjg0MzckaGGi5bbe3hbQf3KQuDp3SeY+12tjXyWvUoNCrdZ7ZWdUn+sniDf6T91VxRuVo5Bi0
atbfwtVw4XQDYHBFkVPIvLnpAlCL9bujVPJAnVDecw3DYlMX+yVeNCdYPEc8AioXZ4dMt4tUGvHM
1rVCOwcIT2bYa5d+Uk48vDFG+nK8If0qeoKvMT6WjDZDtkPpgwI36jYZcjRFTEGQrJnmQFqlBMjG
7DHpQjlZEvPPPDqbmMDDvT7ob55NSGJuHJ1pNO7gv2ErUitbe6uretk2qUrObi3XwD7GdP+exSqe
RtX8y2HVQ/rW/tmsav2q305iZKYUsRyd7mqR/KkwRr+yTomQVHMefihRfp1Vef9xAJhyQP5ySvMN
f9WZEhULTYZa1qIhJ+zkn+1h1r/aD73YehKTO4uDlYEZQyTvDwwc2PcJOjLOWSYRLGshvtvaSxV/
Vz3qBliHrV2eIRwCyxw9/TzW/P+t7tzYWnmDy3Fru/F93vcv0G03UDSmncySp7K1dlRh90bpMkOB
dSedZ43dDc75LlwcwscsRITMxYCEx/0jQIpPhAk10OrUfNM0Wof2oH7GxxXYln6yEC4UWvO6UBVr
YnnSTaXZFFN3TKySwYhwNtmS7mVPhIsolyctdvZjgofazDrM4AlGmvKRQLKzJ5onJoMQPCz9XRnL
LxQqnzMNZYrZW9vWU7aLs9ymHk4lXtmO/OZ+MxLI5KadjRHBzUDTj4fuw2o5Ey5CAJvTKNtWUsjO
hfu5GZHI1WA4D0uPUhUQ6EmoebURo7KHf2r6Gk64fc9mtDKng87ue6zt+7Hu7+euaB9za37Na3Yu
duMe40T9ohbWicuu2NTqdAFRaPlj7CihJcp9NyiCrrk/maY80JFUHP8cyNp3pIUvcdQ/zq41Itfj
LF7c8SVTpefnjXGB1/ZmOPWwYYT6aC+MFUbVHFgER9tOYseYxwHj3TTvhQSw745hzSXaS35ncZyb
wTjHgr0IKN2hvWKS0JIwckS16yzstKeuQvKzmLXaHSoX/nTneFDw9E6g0a3U1gn11IyGUEpGZa/5
0IwH0Vl6F9iZCtZyMlBHbTiViarOiZaNE7r/2vQuRd809FDGtzJhtKJEbEAMk2GNrlf8t1ENxkV+
o5o1SZxv3ik21oQGEcwlUZuOhv8ptrJ7ZyFo1TGcq5IgXELSx/dQbb9Skqd8Mp9Ldxrx5gwPdZ8R
BMYoMTAb67uo5bs+T29L184+a6v/z955LEeOZNv2V9reHG3QYvAmECFIRjCoxQTGVNBaOICvvwtZ
isnMIq2spzXoSVsxEYEA3I+fs/fa95Gp8yho2kEesf1nnXreYvUKKP61QDfG06QykdOcbKfH7RNT
vH6jSXoOucp+QpiJnFbHnWRa4guzceHCk0RTWfQUBklne3LqRIc8AlJBgeGXUXQGWe+LPkH0Knhe
SpCg2XIOz2GbVvXVqEGsj7PprtZJUzeraJvHRPmgB2MUZj6ECFe2Bv+PrYiHaGmuCD71Zl3qLkT3
VBpGh7hRqs4RoC6rIyueXJkkDmYrEieT3JWkuPPydiLdVqyTsBhKB3KefRbH54tZHhdGYWBkvmFO
a71cH1sYLXPWfv53X/m+r6wwgL+v8ffl/It2y/o3f+wqivFfU7dMurN/0pb+aLcwHLEc+a+WCgv+
H7vKCmJi3o8Qn0fUYXLw166yUunR5//uhVgL8n8wAQFX8GZXYSrKVkJbh/41Bbr2xu+nxXmtRKPV
H4vMxKVd5VBsq4JD49Ws0lkhQ8uJw8XEjDjKcRlkYyYCQ+lVJUAUOQOZ1+eE5kFjJ818mVKwkMJn
D9SJpGZNZoNqxshjjbl1WeQkXdIYZ6gnhVStvhQ6VQmjwxz0kzUMTlv6Floh9LuGIbrJoyGRdi8Y
h1tIUb1JygoO8t/QGai32m3a1c4hbmRIrggs3UYI/a6pmKXbCPga4ByYM7O08JVGjOec1OaNaifl
0cqz4Zo5qvgk83bV+zGNo0+j3k4wYORi5cNUAaj+8JhK5COzfMc7U1eKjApdm68UUMr7bqjEISsp
1JV07H0gR98qYXerOF1tX5Dy8Eb2ujrgoDbUfWyk/S1mucLjDhqf7SV3tmOciwtUiXRTlmSbS7p2
bS8yamgtQmI+yLSjbQWxjtH30p6p0nxs5TaFlkKCsV4rADC7rlCEqyloMZax39GKZXyr1I7iO06s
PmtLvZziBewLks5B/ZQhbjgfGnjmM9OiR42ZOCu+qp7QSUT+YhfD5TBkn7ml5R5Sl3KjdAlbfCrL
9kEXieMamE+OM5IBIARGcjSSrts6aOeCdHHs49LQuCoaTJTOjM4i1qL5sw5H6cIQYXc/FGurxElB
5kqJeqDMyhfXjLtsQ/IWQ20mV1cK491NAljopCWYBPtBrs7h6Y3nXZedhTNUb84aRHcb8/RN6HG+
s+siOptofPPZUks6JMTLnxVJxz5ezXnOAIdI1mYmlL6OkJnpgqdoMnAMuovqhGd5K5n3gyM9VHKs
Xqh07y/5+OFGygr90FWqvunbVr4ElTPBWhbpPkrKMajo9R30rp6v4xZ8/dgJyFXJMAXgzEKiD7su
8v9dWb+vrPK73ROCg/r25T9e1fUMLZg1J/28//L//99vo+n1b/9YYdeGtsZolWKbNgr4llcdFBra
ugL05S8F+R8rrE0K9DqZxuoLbeUH/ZRF2wUZIRS837xj/6xuX8XyP9btnJxRafFvQq8lO5rP97qD
4hQWjnLsJ5e0OVTCSFtKrLMcmPxZiY6bzAJ6FXMaIX2cpAu7XOldBi52kcJPLmEmKX16O0X9eWZP
N6M8XcwhVips9NjfBe7+JVnOnKS/FwUTx0LbGwl1DwF6brOm9E0T6pDB9Kai2ScLIUIF8l0UXVBU
LGfatpr2TbOj3hPfUzsZBXt1Alu4XVnVi80YK01thD2oH1HmPM3gx9wu1+cAgWXhy219q5v4ZPRB
Uil5OCbXi+zNonf1COpSW4YPnPb9XsXJ33ZUR4n4ZA4ZI7ym8A3F+oy3I/FGM3k0m6mj3DL32mQj
T0H/K1XqoxnpW9uqlzVrYxMjeXG1rtip5miAEbF33UTS7ExJ4yLm/gSv6lPRT5fymtZMlNcT9OrE
K/Rsm2UTKJAIwvokWr8dUWzaUf0lYlDvT0r5WJMUTSoTYtdw6L+aobocu2x+SWojPEeXZqGFoq5G
zxtIpa1cq4jefTYIEhE4s2GomRg1iuxcMZqRzJ+xJeawantoA6O30PJYedrVJp812cuNaQkAyDA2
cxb6/ipwDXJSYPShCdrYWL38MAfT2uOHcFsOaOjNK6K05CQMSrlLzom9yrf2OueA0LLcY/OLSZHJ
QyrcHOaIWcAIW2ckVYshB5Wu+Th2RXHNYL05xWtr116bvM3a7h3Xxq/6vQcs6Xp6EX7vDEv0iId2
gfO8FHL4aSJ0hWa6ITX7UpWvmF8oQQyo406eufHb0FbNZ4lq+JtuE5dVrMm0op+HICOsFpIBQ5Q1
v3Zck2y7NjlXOvUA1IW7LoKGKWtH9K3ckYErNcOxjUnFDdd8XIuindE7419rTc/VidHV1zzdBoZM
aq0Ju+Q5hCFC+GxN3y3XHF5zTeRd9BVip5DSaxUrDON7dK+a3EC8X7N8SfWt1nxfdPXjvVPY9t5E
wOnGaw6wZJMIDJ7827RmBBd1Cs6E1OB/F/Pvi7lOXfn3ZfLNS9m//Md9aT+9/LILwx//sZojC1od
vZaG+AdMkkw/+o96GR+waaks5aoBu1RZF9I/VnPjv2sHnXUWjxHSoNdMU21lmpqyzUSTvgn/7D+p
l3/qwbBf0HyxacUAsGBK+uNarsVI+1n59GNcPC/dcZqeXt2W02+T9R/oG8rbepwvoYIoA9FlszkZ
1pvdYiDhhniFaTgOC1IT9C8zOpg8TK+pXL716GPatCWFQcdsqEjlHhXVrm1SpCeUhOaqsKmQ2pRW
u5OQ3qQE8lGsfJEAdKHTQ9XfTl63inWWOL9EKIl+Rxv7RruMilXXMyWcwbmJnhE3xbzRAGOyW8jG
foq78JswZEq3Ijb9uU+gcetJ/gX4FWvPAsJaZ7qH4zWSHlOswr6T6Z+HGCZSr4Btpb3RrPrVig6/
fWnVNEdyu310SPAJADKvxlVdnFK8gHiPKhr9rQaEvy3PxzZ5zlT1gm2curaYyTVCTpSX1a4s+4XK
uyGqLd+ilYU3wZRvIdpHkgWHD336VmTSJTjDili4ZdkMuu1HdX9joRCRyPfRGod2i7Qr6+Gsr+WK
7PL5asrADC1TSUZS6ys9I0/LegmVUbjYqOGCSf6QJS89giA6ZUguDHtHWuCltPDnJMNCTHrqsujM
GSyqYeNCL8k1aNXxkGuLb8L5aOtmZ84Nu4bu3KfJgp8ry09tiAGqW/CPJfJT3ai9N0spWYj6LfCr
bJXyZmBu9Rt0zHCWuwlTgJ3s55x8EiM1DIItza3cJMB1zex50J1AyK3Hb7HqHnvyT/DyTkwBHX18
0CvNI5TnaHbmU9cvl1miX8cFINBhncTo4yEW7b6aBWeq9IHwlQizjdiB97qAUHYDwJoRY5o/sHHd
0ywHlzJsqhbV72JspKl9NvWeBKOegA2te6r48kwjp600L1+y3ApmK/ba0EDsNV3UsIno3iGF1mkA
uWQK092zyBIyrWfegk2apE9RiEht6vD/SMPAY9N8m6t0ZwP70bX6eWjlJ0mSbzprhvVGI2mcHE82
8k9LFl5luDUw7EYXWdpmwB7rjDm9dRszJW/qIfaY3GDDLopPjlIQilHHY2Av2OLtqSvPEui0vlST
AGaYN6mjPw51B2RIRemC1Jq3JxU3skI6wlDbrtrg+jAaIHWSYlxPKOu8AZjt+YjO2SURsgucvKZ9
StZaIDpgyJRDQQIMFikG2R9NaH9qnR7pOoUsVpLaBLxTYGrvvGKWkPGCRkpwECYcZuCY+A63wtWy
GoW2tEbr5FXsY/ZtOTVKctAvhE+WfZhdV/YqIygGtLyYtQBjqW5PAExPhYRLvMPxAroYxB2HRrXp
doZtp0GUDBcm7QBEazUAqMXYhtPiBMukKi4Umjqo+tXwXiT5pUXeMsmmUncFaSBiJld/Npb5vg21
FysjYV5TDmmsFJ6jSBJtQukizPCHK7li4A0wJjTrVXHD0E3iVbXC/GHIymsxYqjBPgr/Cccb4Tpt
qvuoUUAj1OW51dCXRB3Kf7+aa7AQ1Rj+WaPOEJjtcm3F0OKDXvqLPJW2sREfiLV6yNrRY8p3Jhws
1eWUPespGrIOh4ywQ/Nc6ZlMhkBdPzFcU70FCwKopUYUt7SbxWYkBEmzKhBR5OV6JK9lwZIk7WGx
s6Om1rsMibLSEIa2uuKmAgfzIgyfJY+mcTiAFTXbfT6PdytHtVALxPTukCNzBG5HlVw4rDkDknSz
ei71XmL9lUDxxDIWQKAEXA5wT23ql5WWkwAM3nTc0a0Yt6VezFuW/vghbLiCOuS3ZQHjGCySczbM
bXqWp9GxhMDk5ZZm7/GAxq5eWbdGg7jRJbVkcQu1ayiew3CDJ+7WDOdbuzSWxyUsscsNVbcxBqZ8
FiFYPQfvbS2PhK/ODS5U/tDFNzk8tklub9YqCRV7gqEJp0C/08eSn1jUG80uaBAX1ZM51nuSoTaT
NQdDV5GsYZ1lzXwnx2kwJshdqzq+G3IVY0LjgBjEfltJaetXYc5xZEiFW8vyk8aU3NcmvXkczJrs
pYqmcRbzoMNlRlIaao/q5PQ3TIgnHPiS46WDPAfvb8+cMl8d5b6LG21m9Qq4yFVDtWqWXx/l1KIw
OS2l5bHHv0IpvzdMcSXabvP+ZdRfX4dZD9MeRk4/FQG9tdBoictjAeWuM9U7VqWTXRTPLJetK2aH
H2DOd+NUE+Ob7To1voCNiGiyPGelujBCWIVOdhWHmCBR/Gjx4GG+IfY4/FoNzB5nXgF9gWspf6QY
/OUnNyCsKmgoV7Xzj3fIKIYqYQhcHgVqlmi+lVOYT9UH4SAOyocffwekkLrGAX2drRk86D9eBUVC
TSdqGI91FIPzNPW9VrEwyGHDvjGO6Hak8VGq8+qqBEs4O/Je2AKBzFyzUGny1ZIWm5h03qsh1pyb
kl0Jfw3pbwrJOqAwPENNFyKmomOCb2MKUQMLlffGLIi7nx1kvGQKvmQ96uicBLdFNC7kQGCieZKB
udI+S626QQm7WvWIHpsJnfCqhrTImFxKtiJKm9iERqh+hWn9MtExHUhChmmaH0j0A2BnzbheFZEe
ZMbh7jIhp2TInmCKTi0sf9F9OCjFbSNI+XWU6MIo1lxes2aGzrmKICSvQbbmzqmVBbWsXtL+APC4
4HdWtPwilF8GDvaGtWddfLIlcgQtoexmRBY5DJGgrEtgdYwSNEnmQEXpMfGa+STOVf4kFbu2h3pX
KNPZII8vGS2Nz3NubGWTI72Vx8g7l5xjerOBpkeLQp2uC8YUwEQVZO3LdN5Y3eH914UJ7S+eh1Ug
w+MAXhGA7o/PQ6hJFfBLoz/iGXjRnK7wl3rMjyaKNpf19Jn5JaKHLvYUc2JImCPz1fDCWnzRMAYX
Cafk0EuAmRf1YFT2o6aXMdoFo9lgftb3haHiDUjAqI/2uKoEdZoQbOq+UJCv0pagHmEhIj0SC7zR
3EQF+eWkuVXsBgM4GQA/Zd1szGL53FbmC8IewxuVir5CQei3OlM7zwyjesU3q66h24CjuBXmY2qb
e0TNX4BGM5ASLAOYk8xyug0dRAuYiBqg+yb0ugUQyzCrN8Y4HrI0vqEZe02awNac+0c7y/Cpk+8X
0I1fs/CY6w0CB4BBv1oDXiqHKjuHKb1IPBOIb7QnRZMelXhEmdsvWhBb8mZcpAk9SRUoeruV5XRP
RytQwX6yG/lMb2WPEeS5BfhGKMgflByPUd7faqI+OvZE7PT8wvzvc6O1L6VlBsbM5wQ6yjThsoqn
C6s0NwLHQmyR4ZmUlqc6yVVWS9meOJOg6ubAzEMsVasu0ow4l/AyjpJzBZf0W2JJDNNm2dOHFKH4
wFS2i32VnhYa2Auzg/SrNfxKq4VAjxZPrBVqNsQXEqm0GSO3CpF+JCUnUvrcKCYJK5POC3bxWEQ7
W8mfxrrbEIBeOntd9xWFXTMPBRl4xOe1Re0PTCnIq5O2DD/OF4ThlsOUTyiRIKyCRXdRFewYtmsI
+4QNdxeVsFRFc1HaBlVvn0vE6mEFnHPrTI/Eeb2mqZImwG9TJ4oncPLHtThIHaeE3PRSOALVYK3p
syfTCCyAvcI+FtPGxKSh70JrfKhlxESFfDANXLyAKS4Aq4J6C0OaWepoeR2WGM9KIXyKESsVdcMO
Fk3nE7u7a0eqEKuiR24x/wUfoXywtX3wpr4VMaixM6dOnQ1Hk31/7A4FnpFpJChCXGbtQeHE8v7a
8CvR/KuVQXtznFbjuOR0wcpQVV8V68s4Xa9uxehR6Lv3L2Sse85PUnnyvPASoV7GAvjjGiQ67AHk
XE7HRZmjoE4ImUtC9dboomofVxLP3DQS1ZAASVJk5WA3aHvMFBf5khJ0jD2CX0aRviH4u5pKzYY7
PdzT/LskI/oGWwph6QAqO/VmijDJln20KfrkuUz1B4kR3nU0ZGNgxHG/LYzh3MD5TmERzApIK0q8
bdlr1oOjOjc1GZF0Us4Grd/T6D1fgD0btXMpsui8Zdu2yEzMVLycg7Ra9zwMiw9F3QZJHu5FjTU+
nyAGGMXLIs+Gl4voqZmcltA77LkqlogP7uqP/ZbfPQ+vbuobMTguYjDLAPaP9vQcL59m+4Poqo/+
/Tcbhyzl1MhgO4+JfVOnjttodx88Fu8/Feab568wi0zO1Gg+Guop0YGi9YEcz977F1nvws+Pnm2b
lKS42cw3j95kdSLuyP49Yv+FZ9CLgprkDrzGB7/G9ySvvy6EBMlhQAy9la0W/A6V6Y/P+JwmpYiW
GlOrq3xmU/Nv803oS8HoJt6DW7oPe2IILz5dJ158PwUv5Jp94o3udtr+/S/8S1/Kq9f6beSYMyYO
Y0uWkX4z+qDng+lm2BZX8cYJHMQQG2XLfd4oHgp6Nw4cvx4D/Vj+pnn4e6/T2u3763b8/HS+mZ3n
YYfBt+W+PyL6CKAmb5yT5V5iUo/97YPhXZh+sXWOQMB2MGd3t6Efbacd6567bCvH7XxaZ77j4zXe
ldvuMoZW7Ub+PXOBI1OUrbF39tW52LV3xebm/RuoffTgv6mgJbVLcojZPJdu5dab7mu9qW8Vv/FA
1/mxT+7GpjirtqfPF8GwNzwO7OkZYS9n6THy2Hxwa7lfQu/+/U/1BqX40w39LlZ4JTZOkmpsLZNP
Fe8dN/aWHWD/WzhiGdwk13RDl3B4l/nHsdmpzzTSgvevvz6+P/+ef71Hb1YblhqJ7KZ5OspLFVhC
nIN2OY4Moj/YlNZV5b3rvFl17MTWxnEhsJ6a2h3FZ3naCfPTrAH/Jaq63rz/rX79U//5rd4eJqWC
xd9o0uEYWxknv+s6uvrfLvDmzMfEjhDmggMUEUpqSh/Qsfz3r/DBD/NdpP7quYA8aZcAIedjVR+7
ItvU6uMy2B/8Kh/dpzeLW6fkJCpZaX+c1l9lyQmk+echgFj4gF7/vlBbbx6woVq6oewY1IpxAnSN
5mbyluL0/s364Omy3qxKZhhJM805doPJ9HQHzU7eo80H4UWIUCrU4xglH9y6X/4+hqOAYsMp4Kzj
l9d9ERxlWlgn/XDUi2+rSgVMY2Zu3/9av/x5Xl3jzUuTRw4K7VifjgY8T0m+KooPugofXeDNkrjA
B9PSqhmPMos2zegMWvH7X+H7/vjei79uKK+eY5BYNqwQnmPOBjhzo7Nxlx04InhnSGaC6BK11Af4
5dUk8u5as37rV5dU6P+h1orZox5pDJOn7h0iru2KF+Vi2Y/uaSGsiq3bCAoPUf+V5F6DMGVXPz01
J+2MUzvAh2Du3V3pxduPPt4vN/JXb4T59slJWoBUIS+dcrlu5JLbwU/bl4rnZlvdfyjdM9mdz7/J
n1aK2918LlzxweqlrsvTez/Km999lDozbpyZWsInUM0nC06F8nKe+9fO0bzQtoP/RFiYW9Kx3bTb
emt70gcr9EcfwVqHgq9+JOJgJL0UdX+UzisXBM7ipl+MDTkp58PXaYd//cLaSlvpG2ANb9pml5Gf
fn3/0fx+8HrnLlhvnpNs1EAWlzya7WbakMjnJmtVt8+823E/7fdkzLvLsS/cB6bqfrGpt9YJuJ4/
BPEepsjzRwT17weznz7PX6+78eaW2JLDbAgCxbEJ9K0JvcefNstmuUBD4H6O9uEm8+w9BB23upg8
6y6wqQ7IUNtmm5vEX4uE34uDf11s6wj670f3QI1g+n3pf9ZgrX/3x9ReZcouk2CHm9LkjLAKYP+c
2uuQqogixaOBSgst1J9Te11hNA/Zat0zEGApaxv8LxcbXgyVPF7+VawXnLb/gcr1x+0JbwgZXiAJ
bAUPPcN7jBg/vF79AJfNqgxxYg4UIbiar6vuo91pBZS/XkawRq/5XXjzaUiTeWq8WdsViZF1mnX1
SRNOioNHNzogmrGmluQ1rKl8flOZU3a1VIlpH+M4th7byFKzK1s2Zo/Uw0lFjVMTwVLhj50uUIEH
ppYwb1Jmd1g0b57zU2hIfl5J+7lzAM5VN71cYwWIlWBprOsp6XbhjLciph9UJrQTDb05w611KdnZ
p3zOXiSQkENd70HjPc5jqnhLEl9GfRfYak6MPXMdZWq/tYO1rRnoEG2lW9uk0QdPIv6TY7/YNSO2
B1Jg7uAyN1oHSK58jEx5L5OfgRi1Pmum8mveORAaGC/Spf8aMlqnH1XTupPpHTRdu4GoRPKLJXy7
RCvVilVub8mf1skrfgEEu3p5OyrRWaiqd+0UwzlI+oesoHyJZ/G5M/WzWW/LTZPWhzKeBDNUi1C/
JDS8sGpv2gQ4pKVXfRDN2qGISjK9O+0qF1CliKh6lFINjZRFSrVqAZBU+28AhmHjJWqF57c6lZV+
bolWD2qd+XqeNenOlOmd1yTW4LAeSkAqKqLVEZuJXi8PSlHtNX5Otxqka0NIJaO1/FYUDqGzdvYk
Na3uqpieHYR8x7wXihdL2RlCWHDqSsM4045QAn+m9tg4KPWSQqiePjWd5+TlQ7iAWw0bm8CjSDlr
bVgi/WhtmVR/psXEbjhjSbT0zzaRJL6dJt/swhq9CP02zVvnNmrMb3oiPMQBX9HWCk/p6CeqoMgV
dHZVVJxGtfukpCk5aesAUsvKPUOMwtfHfpPYJoMRDRWb3vUi0CWZeWU5nBDN3pE3Bpsy7wE1xS1d
4fgmmnrQKZxovDLUEFDTfBwji1xYfj/HTm9UEFLZiJprcsaHDBeem8zmtzR1ng2kv9A/VQ0ON3Zr
iZb8AbV460VpUnusK3fR3NyUuoE7PEOqklsEf1XkxCnT9Dym+dobb4bAFtwPTBJPmRnemiOEyDEt
v+qKMDeYHu6yKL/rklIFR4s8bIz6Q2FJ33rJfgJtqsPJiT1KJbq7U1g5C1hPE1hOr83ZvlZ5+unQ
tYyZa+6GszhKc2tEgumBSXO9dvLsLpM1Z28sU3oyNXHbNOpOWuqvBURy3Pkk5FX1F6XHlAg7JwqG
3k42mYBS1ybkrOg9XElMH515XzrBtJ3jOb0ogN0nknTdDqlToAZF7OGHBci3kT6zZE2V3zqE9HY5
+o+F5zfS6u1UaYiTjcKzWsoF6KE17ybKRk5NlfUY28bXRJ4al324Yf6nbAr69GNMBIytv6yZdIQr
ndE/fIqIV17XnOu2VALyBq4rRdsLsrGgfPqmFN2rGeoR20BqJ587IjrBjT/NRXxYun6DpcoDu/1l
GHGBxlbqZyiOAuCVXtYgcu1aiOU2Lq56PFogw9omY160LD7oAwH2gFFGaktuKEmXc9/eF7i8glDt
vkJj2KjN9CB1X42BJ3E0rY2mQ831QhhlheuEAlhbOsySFMjjbN1bRLxtm6ZVvTSakKfadV8fM017
LCpduiGoL7DGMkKTmbJuuVml18QSgk3e9nPVEskLz9TWivuMmWLbi0ch8vuukZ7kAnI5HKflxIbX
bNq8eWlUZR+32pcptC+bhYNXjqQebirqHKRRftIQ+iOlebIplsK51Qt7PkRFfJNE0adUJYVaZMhF
2mW2IBySxxWCkvD0Pn4qVX5FEd/SF0l9R5POhrF7HJRqubElQoVDCdEBtlqa+wl7D6Yq1oBByk2/
G+rlUupt6dZMNUINZ0cEUQvJnbe8ewidbvD13ip2vM223+S9r5sj0gKlF9tQhVKtkSe9FaUce2MO
RjHq8ehJOQp/gZx3DTM9oa+97vTYa0xlmwKawp8VEiOAamsxldvaqB5bZbqJjNbcO/rwWK3SL6Yv
4QfYo/V48KpKXDddjO74NU38K5Yhv9nZzXyoVVtthlOFA85U8AHfmnxqA70ynfFXdc/pt3/1tTbv
xyqCMkWFX0b6C+N/cOXK2wq566qpV0UnTnYYhNl9MzNCvv/fLrF+hFfnAJE3eS6GXJxqXkxM3G48
Puv1B72/X34Px4FSRm2FxePNRboYOTQsE3HS2tuG6lmCsr9//3v8/LNwq15d4k2fox8qO0KAJ066
fVM0m6WA3SkuS+slnT+40pvj7W8/yqsrrZ/k1R0jrNkozJ4v03BuU0rTi9WzoTgIhlfF2cJB6v0v
tn7wH583gDVgc3RA9hCY1lSZ15froxQdXa8IEL2PyjolM2+j+HwuHr9f5t+zhswN/fuzhv81/88R
ZfzXnw8b6x++OmwYHCRIM+Uho3nAUfXVYUOlxOcN1RznB4nwd2QGLA0ZdqDOT7h2xP84bCj/xTK9
Bu+aJpm4pGn8b4cNxWBCAixDdlAbfz8nvHoimQunXb6UGKuAR8tZQpZu5mnjR1IklrGfn0VchTA+
NAcpzE8iIQl5ISz1TJwMAyhoH8m2HhjLgAUKQWOlRhlpoRaE6L66pLtx0WT1naWiSSGbfPJEkfZB
1ioZClvD8ZHay56GrBeUDycK0rsfRUdEfWHHcGPXEIC4y29qLuipdX6qZGLgsPSxQzYqs3VpXAkJ
xQqYt8+bYvI4AQFEULrFZ7620ygrYfiMG5XYeUhLWEI6OBG1xfDStg5sEI7L13wEj1Hh7TVuNFW7
lorpKEnGEUns6MoCqLZpO/vWGY8iLEDZOcod5NAcSMZI1vnKJR3G/sqQlo3QhwfHbr+qkfUcFfNT
uxToQxmawxZkzE/euQn/ZsOga2c6YbvtkOV4WtveoS3YJbYeeTneWdqcn0rc6ZuxkGvfHGdkcSvj
QoKA5uIPxE3SL88KAZ6YPNJL3ca/gRCG/r3mN6sM11Lu2i46VMgCGfnO11YzbDEd7SIzktweWwYf
VCM6ty8JVFCNG2kGt1j06Awt59npi0AGLjg0mFm6Qcd9CAqdxjIKjS7dZtbwzSbh3pVN4yCNBPKR
61SuJ0xPAaGnisGbZuZQIlYoNJX81ORxutE00Ci426IojNxe0bfOyL2NVw6IZBqjX6OIxqlEgBry
0XKZfW3p7hOTzJ6ow6ys9flNJ4Y9qvGRyFv5M01mRF5ivs+TxNhO2nKpToTudHE6uu3SflFy9Ysq
cpjEk7KrcmdPKpcCoFhsibW4KjLbB2JkXlgaaZ9mXn5e0voxtpDpFGZ1Cxo4xdptZTsxaFvLQhmq
hRuo9Q4hicWE11IXcQA+pXkp0ypqN4stEUFvmAhxFXnKkLLPaht1O100pS9bYqPYYkXUt/j5clzV
6qx4cqgQeah9EbKzTwwFnUvVYvTO6vE+M7QVpC8UGSlYshJ/JyXxs5Tw3VrfKWRS9DIZHnbzAuD6
Wsmkr1QqmdugCK14GolOGLFtdb03OcKvREbkZ2EQAiHGC7uFF70Wb0aSQa0nLXWfD5F4MlOrC6ao
PkSJHHodLDKSmtxY7y5qQorHvtsJ0a8KTUTRTuqNqXxK2+qQmbyyWpmR1Gqc55K0X3K6pXEUxyh3
Z9JJxuSLKWaYCyLV3GlQruPe5KzQf81AXwMnIEjArB9FGxANto/19jzrSYE0kaal8jNIqsyDVdq5
c/6c6zej6Ih0GM7qKnJzCcM552t1I6+JHTosHQRDQtN3I6e5VolBOKPEQkJLzqWs0A+JRh2pK8HQ
UyX8UGpbVxf1dgBRMVfiqa3II0xm/b7vsZ3WUqo3t6uLKrJ1eAzV93PYqw3mF0Xd25EjBcSqGcYF
jZMafObb3lAH40APZ3M+CTCSrr4Nz6ab6gDvwJVeyoc6yPYU5G54Dp558NPtR5PsnwsKLu9Y7Dsk
vBjEGfxYUBCubYySOSyn0Xqpw73DANCZniVU9u9/z19dR5Wp+ZAAA42S39RJTs+elUzjclJALWG1
y/OvTrRf1WnvX+fn4vL7/aT/hYgFG8+bAqlp9NoYlFhGnHTempe1xsn+o0J89Ra9qcK4yKsv8+Yi
QyzLnZqtN23T3ZM3Fow7+Yvt2wS6HfBpR+51GxBLs1F3d0fbz93jeEg2910QBlfpmXB3eAAvep//
0K82/C+4f/8eqD+Xvyq8F/Ii8dOD5//OSH1VAuQD+MFylpUT2T3H8EoO5IPyEJ2pwpO8geb02ZOy
nbxjsxE7lIDFOVqvK0JNNsL9vY3+byG5spr/vpC8GYikan+uIte/+rOKpPuMh0zlN6I7zcv/qopU
/suhkugp/U9H8R9GM5g++JEcNlqw1ByfeM9+ryI1aA4g0mSZClPRQDT8oyoS+sIPDzlaG+pU1gas
bjSW6Sy/OaaNKtEkjeTMl4bpdBuUSmXQ6XJHUJLGrgBuJp0MtxkNSfKMsKwPQgw3cGi2hp3h32gX
MECxbFxMJQ2fMVUx+HT6GeUkDY9Z6zaqAgXZROy8m8amvlJ1vC2Yd5A+zpGx7dLq0VmU1JMM+XPZ
kISoxMtVkWBTCkWV440ZadpE1iXp5KNXViOG1trKvKSiKUZDEwdsEpVeWahXmSbl+7Eg2qcIjUBu
Y2NH9wqygRZ2ewUVqE18Q2mQHZVdwxP+KrLmpoJlUxerV1c2pX06SdNZ5OS5t/ROfSkP5jPrw7XT
8K+ESnbQbVn40Bb8biLRPRTOAWMvUq7/Y+88luO21i76Kv8LQAUc5Gk3OpPsbmZygpIYkHM8ePp/
Qb6WJVqWynNPbtUtmQQ74OALe+8l0sUY9Gc1me6zrrwjVOgQhc2zqqDELjP+2IlJa+7EFwaZApip
zcupdF4npnnM2hOYc6I/SBsevZ8OFWgLtl+hNa5d4b8kZMaRWlYQqdgQMVrBkSkf44g6056L5SjM
6tVgyi9TJK7IEuL/OOV1FAYp0TF65Zyar9gVZSawQPFkXqaiyK0Y7mHPxSNGTjacB5LyN5AmDp3m
Yoib3iaHJDrT7g85MQaM+EDiNA10gLxryqWRobQnkqDcugGOt0EYD2UHpGIGT3Aor/oZRdHINx/5
LbbCdilgVYDAfu9sEn3tGWPRzkALbUZbODAu/Fpa9LdgL8q4PIdwMJwZiKHNaIxwhmQwSgIvDDej
F+19DEejUwFqWBYRoU5KuGW1NmfkRgh7o9Os8zgED+0M5Wiz5hDMmI5+BnY4M7rDaUxQG0nQevYM
9rDTPFoVM+yjmHWF0cz/gAOSfAWCQAbxBwdV/wwLaaGGEMkaLFs4IvYMFGlGhRxxxYd506IoHtoE
DXxgEOEsOoCE2lR64wwoIXvjxp6RJRM5JnDVs8uWeMwl5G+s8eOkLKJq1uAaBhXVcLY0pnGIHBb5
mDkrs7EuMkts4R1D1Ajc45hjbk8VYS7tUNupAesfPCqkIQ/45ZFMHotR2dUFga4E2L5ACHmIYaiU
Esuj0Y0e0uQ3DqmrWgQZ6xDnqh9MdRU7To2vIO8vXEkoRqm/xnN+UFOGW53cvyF2ryCS3kA2iJfM
LZ/SqlUXjWIGa8eM43UZ1B38Q+a0RXUmFTGFE5m8xRP2SSn8zdQRSCdShXLdIMbVDaKbIgwIFIF+
tlLK5AHy+YNWh8BJe+NzrcbPuYV7iW6yXZQFoR0M+y6Z89zHtXLAMrZ33IwH3WiurLDc+zjq8VR0
yx6xMV4U5amtJAGKxUVRZ+kCsBVL48B+bCck3Umgu9u+tF2vydxsO2h88arGNY4iKRzFq8wpev36
NPjvsSjYSv7zY/HyLX8tXqKfJUTPP/jtySg+OYxQHAeXtfUHfuG7+cpsf6aoIZiUJDwqn/89Gckd
JcoIhairk/TG/IWi7Lsno/nXjvffLHKtubT7YQCnmjOjkcA9kKpMYT9sWe20DZxMBMpRU0DTtCjk
ISa/+UNIFICZWoQGqGtTi9e1DEjVIpuuvnbrTDkLe0bwIG3P7esgwPrPwEHqXtdo9YPvRLZ8MRWH
IN4QY68Q0tjEFWRTLM3TJmiYXTegKjYAJOsFAffOZmyjcdWXikuTIx7zMlFfgirNlpXAklWE5EAO
lCiLPuhJcSz4b3WbTR82vPoZyCPMlCB1vInh5X7I7X0cswYd9HpnhkTcNZ2y6UT3hYWwuuirOgRR
x9oqFRyWiryUAdLRzDZX9Fv9lZPTnmbQelcEyeqbWvI8kDnmnzoZ2bg6NIaSBYoTCGQtfl2uJn3w
RIudDEKCvgA9icHBMeWNpj1EgAs5QJKrqApCDy7nmfTpHEO2RkZFzBJ3iI5DVL400UCYIK2/0aZw
aXtzWNnOOG3Y6Eb73MbRSes87hLZqKvGrDAQ1X7NQ2FUobKWjljwsShHlqtyYRJEErdYktvI2Ffz
AyXpi/E8ObG9yZE0n8dePWIPDLduMrtMwbAT5jZN0RpXae6zqchZ/8UxZUztc8RNwp43aCNW78ax
5+40DCd74RLneoPFqtxAIi7VFV/sfJfXPUHSTRHtfUtxLiODzKkFsdz00/xwfqlVnX/WuvApDVmx
hbn1OahxPg1NKlh4uk+JBgPbb8t31c2yJY/Fi9QPWSjH8piqCT5tmb2Hk+lVetAeyQyQID8MiEO1
Q9Z3jv1B6a1d3Vf2XpilRjcvCYKd1UdZtjFC/setnaU2mggdDTkIl7jXcuAPaEU3hz32POIve7NU
9pKhkIahSWcSOGsOalXOT6DR1JcCM7pXxml7ATpS9Tq+aMe+YCNaV2Z1sIyCOURBZgA7eLZuU7ch
D+yZzFwPW6zGBmJs9sOY6WTPBtraNHznKgHHoGTuK6CiCyvOzkXX3fmKftmUtugWQimvJLLiHXwH
+MfFtFVMPHNZa6ZYAX1/5ThvrTIeotQ+4H27kCGB6HYcghPC41NMa17z0ZE5ljYCFnrlQNd6kYVO
sIw607/MnZIgWnBH6y4MbkI5Bkgl0l0do6Or+JCc0N6X86hQAR65EInzOSAUj+yw6Dj2Batn7IAL
pe2zpeNWmMHSHY3xyiE6NKudxVAk+PScd4tMGoq9dT3Za9ZrQBwb+kShXpcwQ8Iy3tlklLkDQ1SC
bxdha4aLYUzvHNLchdHdsXqGlQmv1Tr6cDL2gCvey0q7Zja7s9m3QUxbWS08FTUcD1i9ljgWP4eW
vrHqfkW0I/tPkwoRP7RTiFc34R7O0pntJa8NIn29rCovZTURVGUsSz7jLO5I0KTaCBhF9pOKR93P
XiYpb6k+eGIn8Q6/8WkqxmM2J2PGqKfGYgt0dclBiofbREyZj1cSkIaY5C73Z9g3Y99JoUpItnAE
lsShbK1mXNMOzDSn6MVyMDcqZAF37jIJcfaXxTEvVYjMarFBcAjItgtOgiov6oPtSCA7ocAXfS/X
Mo0+V51gyDYuK24R+p8lPiOPof3Sb9O3On0r8K2OLeYyB6C0ilBgyB/NyvYaYl40g2u0Na4WcWQ3
cNO01togD8gMxmtjdG/TeCIpIk3JQhjUTUbmoQvSazGzE2my1lQp77KK4FmEa8nWvAkdz3KAiwVN
uNM1uWW/86hq7X4ynRtq2UcnbK6DXp677DWX5Vulsl4kvIk6P1pHFsp5X3pJYBATLVnBh2cclJdF
r1+DLXnXlHZGdDC9JqVYVbeK22+dRlmrYXoTm8VFS7RnzV9qs5FdWGY521YPjdqtuRWvGtdZa3qz
133JBSHDl7xhFJoe1I2cID3xMnTFI7/KWI+k+TDtJZqe9EfPDoelzIfPTd7Q3SiHtC12Ezy6gvSF
RV8nrC15SISlXy3dEIx8Z9kb0fYPuNefW1AtsrR3ts0uOgQzRs26xam2I/cTN6Ppbgi8Y1KoPhR1
fF0o2sY3xnXkd7x37gq93tZuTb6d9obAq3NepIeS2W6vdDdpZG+d0T/6+rTDvr7vfe0yhA9C98Je
PJWn0ld33GBoOZxzXLsXujY+lcj+ZK12+AGdO7+2zk3dHPPGvO7GQF0QkHfTMZjtS0jEc8Obm+lF
agbEtVUqyMHgsp4Pqql4lEl7ECTdliWClnbARYcAd5iLnvzgl/ldXcq9JsjYFEZ4VHxyjwIZMexu
DPTZot3XqoqVk9xRiMWKEr+GgXUXtxkufxQTC9dun2agjDCIYyiCFbDUVytjqNpWj0kd7lgsHzlv
I5pfkiiG5kBBy30Jlm05qdpTaDbl2tWT24ymaFGN5FXp2gmcQrxK0BDlBLqsWX5v/cRaDkLJVhFh
I31DBxgMwVKTwkvSGO9XfhoDaxP7I3Gf8rVUypXSxJ/b2kSgAjmOHHZagN5edV2wqkkrXypUCEnb
LTMAoh7ctG2vOK+4p9ck/23IhFwjFlnlBcPlrIlxpozTeszyg2yxirXmbcH0mqiPcpmjG2ujZKmE
RHLnAkGMismMiIFaK3ap0l5OyvDU1OVL59SrICbtyU/Hy97o6mWm8vj7rqT9yUT3bxNIKkRmNJZt
YEJ3AWv+OFFth7quuyhXjmq2jbBjFsm1Ev4Oc/S3Cd/XixAFoOpEvOhiHrd+N+GLlIzFi6Epx5Hw
jmEzdE9j8R7AuQA19+uX87OCd7Z1/XmlD4Pbwi+kNvlcSSAaNGZ0MGK/aVdY93H3HNGG//pyP333
uJvwMTL8Ir3rxxcmnALaZFoEp155brtDFbzk6cuvL/GzV0S1TLHMZZiYfbiEj5tZdWUZnlC2xcOm
k3KVhvTnwSYiwVK0v5GI/OQVGVjChQMK1RCa9aFj6HOrEVJto1OUBwuswLAwN2Xym9fE8vhjW/LD
ReZ//+770PhKa1o+F4nZaLT1Bcnv3q/ftd+9jPnfv7tC305tX5OSeKrLS2sGhhKGb0e/uQjj0F++
jA8fTZnMm6+siU6joi9Cc+lGJ4NUIdd+MiNs1UfRNb+54s9eFhsJVdiMMU1LFz++rATaXpRD6D7Z
1Rl4C7DNne2///u3jigKAp/ZkyPi+fDW+aauWDA+4xMJAKvM8mxClIb07tcX+dlbB+XQRRqi6RBK
P1ykGELbjiLkf3X5lFsXKH45bENUaTcx2d89hgv/N8aF+Tv1oRXmiPvrih8+LNDqbl1qMj6po4KV
+gFYxW8Ogw9+lVk4jdAC9bYAJjLrGT4cPk1hhEk4atkpvqh3aD2XML+W5so8h9fmEh3s+vdeiJ99
Ib5/VR8uScowefFlH596ixUtTiXhcigU219/Wj9/7xCJqLNsDFbdj187awKP1WZqfPIrdym0wzzI
+/UV5nf/46fDdoFvmwu4DQDAj1coG4Fuu1Hik03rKx1BtfkcGazL4/g3r+Vn79j3V/pwwNERF7Vm
W/FJM99C52z6N9X0m+Pt55dgScKqkjvpo28t0pLeMaYgOeX50ewgfBC6KDrrN4+6n91CfNm+XeXD
R5/UfdjKgKtEyUuqbEn1WNUG6UTdEjyAkmxS8zef0d9eFihOQGNodHgUEVjzoVQgBdguM7tIT22/
qernwVpV0/WvvwZ/+6J9uMTsGvju2M6RQOvYi9LTMKGYUQJPxv9DevyjDfnnl9Ax2bHddZmz/XiJ
eBwzJaXTOjXpizLt4Bf85nP521eZ10DcODIik8Gb+LjO5OgkHybHp0idl3XmMox3UUxh6r59fa/+
m8rOstR/nspu0rc8//uucv6hbxNZ7RM0BNaVxB4Bd5plh98msuITbnzGrdw5GBZmWdtfu0rA8MB1
Ccz8X/Llt4ksa0ziJfk3gQ50vuX+jeIN/scPhx27SqKqHJWdKLQTcp8+QqJy2dhi7Bz3KDLwC7HJ
loVo4Rn7rSt5KGhOssZ/dmcyONHEQMKzmRc+EcVhxe5FnbvJkoXcl6Qq9jTlCxZKwVoaRkEupJ6O
MyKdpnEk4a3r3XPiDO9MOCI2YM5ntxMI3QUCpcgLzGqjBhj0cv1qLJWtEqVfzJpBy7x3COLhnIhZ
RdbW4Hisra2Krco0cKETOhe5BHFEMZ57zb0Sk+pFAgkxOYkpIE+5lVpfA5bVvsSZthhZuu5qx34s
Dfgh9fAC9/YSaHtK7BSv7cklBYe9C64Es3irpTO3Zyo7EGZFoKqr46Qoa4Q1+VL02pYp86FP2KEO
LYYFdqU1GnCGk6ru8GqJf/aaYnrImv7SmbTZBoAxtU6MGkIHFZohNrHeBes6wZqiYSeCb6F9dhIU
PIi02fsRC6gV3VM2+s8kOd+EeXEcJcJ2hV3sOmsEzZua7waCghduxPhTQ6PkqcOs586cYkMqIjNy
hfEm02BESPKcmcmuCYjDAa39KjN4KiqSrEVd+PdOiq6H3PfPuehgJGraeyuUvdZ3uwE+FKml7I7d
FldGY+dbd+gGdkEa9A9DIfjOai8IwnzLlHx45PMEO/M8ZdYl1ScS9BS5bbxXLf9maOJ2WQ8k2JPE
41aE+Ii8m+A7JiBRypQsRIsVVeJWmLgJuEobx2A93oebiGUaqMGgci8FJPI9HOF+I8Kk2PG+MBE2
5uFw6DvujZ/4zLRSqRECWhWTte1N1gFlbRqplzJ32GhytrTYeS0u7DTtHpzCcjB7JOrjf8fh16zg
WXz0z8fhKv0/r6g/v/6EqzH/4J9HIjnBDl5DlRMPMQYrqe+ORO0TjHBWUfTlWNLn0/KvIxF1hvHt
RPxxSYUWDIGBqXGSWfgO/82RyNPx45Ho8HsozlX6AdgfGn/E9w/+KvBHU9H65qgaxf2QS7SFeuUp
yJaZwDb1SZn8AESkVTyaBtt410wZothI/p1sIqNX6XPwnLJj2YG+TvWNB+5om/Bfh0hEys71ZDCL
yqIJjwnblWVrdMWq8l1UBE0zXMTxdNO1aDH10Qn3VmnfuTiRUATma2siWhI83B5BabCtdRtO0vjg
DxbDwbi8qYt55atE7lZTaf4NRIy6elCy7gpOAiqJAJQ0JAptLU1cM4RmXqRDtJEVIlEIpIdYpk9+
K/atVTaHcJak9EG6xoZG7zDgRbJG84tFuvyWHFKCYkdTrt1ifLMK6w0gbew1oYuOo+ov3VF/zEWR
71ExFAtotZ9FH55DBCsAO8oXN8+OCbl8JGnYDJ6sorgfY3KXkI1tEs0vNmZpfebcXQdFes58WDmT
mb1ZqbYaianXirTcQCZ6pTi/Hoii2hIV7yyy3mR6ByfCiyPFWnXKCKVv0IHkifvIdwDHQphmxvA1
xbgg043dAsTVDem4MDraZ4AcDPD0ttl0ZO9PIBKR6UgORqLBTmND3nnZjlO2SJEzuhehUr5PXUh6
L1bMVRODRSpGzmZjSsdNFjEirKLY3ZWVZKqciDstYkpSSgQZwgEWFST606QyWMb65Ha3nZUGVy0C
i/2EQ8ld4THc8gBaDbF6rRWFiUDUiRd5hI4zUaP7aDBLsu/YLekzvRYpD89aqxw9s2BvqSjFKWBd
s7CaYEO49q2twBwY4vq16xC1p9be6HLeYhgAfjw+lGb0auvZha8wb8u1imaXkMCFrXSfjayRy9jQ
nxSRPiONJu01sDfSNUidCeOtUIMbrLmNN3YsNITOkTs5a5knHrAwj93eBdiXS61TUJpLeZNN+Tuc
LmfVd47FxFz2yzIJTLLg4hcS7B5NYa5lOF6nYXshe+XWVMLnFqkjAm+ynTrlQErvlar7d2MeH+SA
EqHyxX2Q6WQb1P6tP9qHNuYdKkUAIL1Ec5w47hUjzSffHu6Qg02LNEBuMSrskexI/cJa+HqoCcUp
67Xw3WDh2P1x0IxrXfJaMj861422sxyCOBxQYUhjOouMN8VkwNzez1JzmIBXvWEew2ja6nXG7DRC
rN7IR/Z+ziYOFCBoEblOHHPlIqgUQAyyQPc09oATovqxbrK97hKnpwOaUaf7Lg/JDiMOdVnpw47H
VkR/W6iLUkmvmwjRiZ65WzshAnGyHOb+MV7NCPQxaplmBZ4iW+N+3E6GiBaIpOJdbpfLsdHWjsBd
OZ+4nFJasUqM/lR0qMcFqpN1x4IkUCWmWLXaqrwFnElnXVqXcee+mIhnGFtad8IyLnWjisnjldqi
ZwSIqZUjrg4n/JjqjXDzdWqHtPszyLahGHQ1M91mvU7OZksCY9ZaS4vvWzcFN5pqfLGzNPcC4Vzi
K/U3QUBhhffiGshpvagClnlS2F8EKNKVlqdsUa0SLDwxj1nEkJqTdJ1E3XvdTsxoqongwVq7zaMe
pZxmRy9lqKCP60G+NJwRUfQwhP2xdsNtZjrvE/LlVZv7qFhKdZmwktOWUWMq7gLPQ/aQBYodXE7k
frF77IsVtfvBdOpbV6IHqjMbuMJUPEP+cTEZ9/qiTaZHv3fxE/XNF6sFmjd1NaO39CoMtKNu+s9j
071rHfnCel7v00ms2DlBoGzNc5dMlzhyWSCpdcHrr1ZOOl6o2NEXdUd2EhokFRV2d6uP6haQ9T4t
4nuoRQURLY7NXzM9Au28bCp5n5nDmVjuE98H3oSxu8sS7WoyoVW0qIIWPRDszoYvOOfs5rq80qxm
r47xwVDHu5wFtW+YJytovNI1cggb3NUEUxMKaiGpNw0echZzgygmyC5X0f1wxnroCbZ5lW/ruIUB
lzUcOxYCI0tHG6D52HI1Ypstdq7T5Kg7JRl2eWyFXh3RGyBeEDvKyoh9X9ytCr0k60ato8WAtZ11
BRYPwUT5v6rsj6qMCuWfq7J1/db8TDek8lPfSjLnE8MhTHEUZf+DMHzrUtVPLrGI9KF/xjl8K8ns
T8Q72MB7vlqvvlZrf+qGzE+YvHBamjbQBRa7/wrdYCPA/X4kR5fqCkRDJE7YGkF2ED5/LMkSAGQu
wHf7ykfWELRVn1+2g5CEamZ9WRag/bpp4wwNwethFoz3hRuq0itYnhHMH4dPo97cZGElvZCgFBq2
bgPCxMNDgatEzQVmaARIhRt/wbIecaOy8ZMKhvJ8Mq8QG7d4XJSnYsiu8yx5YHmrJefWLsObJIno
h8ZFbvvzUh3cphopCC1yZ0DgW63QLwVPsmzDk++HkXUKU2mfzBze2NIY/ElfWGStFp7pZ2p+a9mK
vvY5p4ZVM2o+9GSlCaP7jgdxv0qT4SERbqjjvyq2URjHkkdwfTnExn7ozGszMKTn2/m9OqW3nUGL
WYTlC9S0DGUUiqR2ipb1nL4PdSzMyUiuFePK6sSDNY73HQbupU5BqPSKp2QcAUE0h6mXpHU7ctAW
TW4bc1TAg/B1B49P8iwC84Z2/kgLZnroRl4R5txmnfGmGnG0ajLeFNNpzzZx99zPKBcHfj9T4TJ5
lnrAc3KItiq4e6+abVJZ6txWqSbWRZ7kQGHmQPVYbEMoa3nf1142RAQ1YFE2s9Be5LU9LRo1yVck
rqYcHHKvl+Lsiy5bTnoIVcYQ2yLBJCQcUlZdOYqd7ImvVzr1VS1cz+mabKn4JimydrPJcvcz6bEH
SIDQ4d16GTn0tfrkojKlvXfDhjW98mq60zpVx13pl1dMIUpyWWuvrGkziWkjKhGSXFugW7Kigc28
kr0MoTuC6kEA4ZqoCdzehkZH6c/X62xoVbtoneKqNWOFutE/pS4WuKDAVRZq136JNrzjibpQx9pc
xmbfLPm+eSHu7A7jOeradt/yCbZNtzarMNqMJltbS62K1ZQTe9zL41iZD1rTXrltdItQC9G02txn
QXgdGmHklSp862CWaFutvujD+lra/i0s8PNUkQJAPHLpSW0IGC5EAEZr/9QhzJWpD9NuVF7qSgk9
1SiTjTR5SE2amy6HDqZTYDZwn1Tidg057YvSPsYzvq9wSLAouxzNS4/yrDKGCzPRXtM02kedk3p1
E11acQkOSrUPkNm1jYoSZCEDtD7cAJ6hxShZywHqXHt0a+OxV0K0LXyzFrHM8A53+nsmO3Lly+K6
m8plC8Zj4p1Z2PY4LYy8mJZt0t8JhrlbxeDb6c8lXZNGb6kUEw9H+9EczBuB/2zXF5jm01rsaBMJ
rnccItoVgcYeg5+aGcZ6qOJjFFjkKSTXWdpfAS5XGDnZGoV2sooy9ySCnNTolH5iKAdchfUoF1Vu
3Q4acC21Vt99YTyrevqi6uauGnSe80FLP6GIN6NR7pvYdpdZlt1nQyvQvHU3UrbaJrKyp0IaSI8K
aaK9lmSH7m1jtM567JS2FzVIWWRYfdEHUkeESda8YpMvbVaXFpKB1ZTQXfXTl1oXT5Xj6ltXzTFz
uvZp6noYvC2SGqO2qM8NamAkJi++ROqv2i3zJzLTHeQByHoKUm3sBOlyqD/DOLhps9aBTOJAZu/8
was77H9xWWIiiFRCGEtqTlN/6ycJg9WksoxF7/V+YW+TJCcNAnjrgsgopJEqHdtgDC/YIok0awx9
q/qDeRWNJiFWTUUAuCJCTxfV9cBueC8du11pU49sIx/5nKJ1G5CZEJkxwQlxWBITMuxk5j+jkSKa
SzGArdt2sBh1vq1lHb9Ydk4X5sfTysz9dWDokozuutoVpbFOQrK1Q9tK1w7c8AXn4bTJ4+q5JgAj
J6MjGPxNQcl+DpXIIvYZzqJsBnWB/dNdj0pO6qUp/bOFvWBtV9quCvQLkGnBus1iZ0OfHHgDk9ml
30u5D7vuNanUeB0SVbMXpR4vzXKCxTUG+TbM8+luGjI+m0Eqa9PBxapQ3C8CkXEitv1Oz3ymhZoD
zMHsD0Hq7n13OijRlOFKoL/xk+lcZ2SYhjb5E7Z1MTV0emE3zc5b9DtdeJujH+OBqKXrUqcO60Kl
RmvTvpAN3y8y5Fqb0cF8LDXSuR0xMW9Mw1Mb4ZX2mbkmRdQj0ZkOeutf+KnuJdV06qGgrfQYDLxg
RrGI7PrKNeMXJ8++pI3PQMJ2aVMtxUR/b+4L3ZEruGBYBslEWajqcK91yeciUU5pHd0kgVIsUTFb
q7jWrEVtlG/pZL8HmQrtUTca6kqDXxmJ3BtSSDzoPBZ9F135blesdU3tvaGqEUX5ySEnYnsbj3Fw
jwLRiwb/CdwKrQu3rp2Sgpi1T+ydF2bYXpVfnaxt9gIM1F1pLoNQN0vvEc/j047wqQpFOaPbUz0y
Ni41qHOLokgOaU0lYvBMNZWeA0zT3kan2dqdf+GAw0TbLPfM0l2vShRG7vlDJuurMcfoY8kMG0EM
otmv91WjHfBhvCql8z6MtI8WE5S8Yr3WxG8Yt9ewTNtNY5erpuRfh0K5V2P1YgoOGSHrdWcjykoY
s8dfwobDt1cYZdf2rosg85gtwszGqvdTM9C5JXw8GZ16zOhnnPg+k39NWywAWQOFXmBhv4nigP+Y
A7zPtIuonomwasE8httuQ+X2TAW2i8ZiXVHp4De2kOFB1e7K6GhVDuPj4QFJ3GEsRxwufnxImFpt
9Kx9MQL3IbD9nDVCdaXa2WkuYjSdB56bB8CVNTiBDluBJLqrh4F2tFFJNCmrUxm5F9ghcMBb1XWn
sKu1WV/g6M42XTHSl4qZsj5kAANA/TRZFqB249bJJ8zZes1Ioq94aQ5x+CF1J86XCEigPlcP9c7W
w/0g43fIPtE6GJyj1OJNMW0aN/GEg1g797TxwlGS2zDtsesbBohYx9zEMdxdaVPI6NMX3UFtPQRf
HCu6wORUU3KoIR9W9bkoBJJWMcQmD+K+PnD73AaSsRr9271W2kzVEW039crZ6kG6FQU+rDbxfEcv
z7lVZ3Kp5pE1rCLEa8pD2BcFfF3ATvUev/aA6jca4B2si7RX5Fny6eSqGSme4eP8DSbE3p7jJntk
lvwVCVk/9JybySU8tYbkqthx6eWJMqwjo/AMaB2e3xePJOAzrnfQQ4CW0lapiO/0Or8ZYMWuceK+
V3H9AI0HwASFl+JHRCqb7i60jc9sWU5j5KLEtokgC6M2W1J3NUvwBuAeh15bKAxGeJyQbZSoPNgQ
71l8fvNnR23euRLmYnhR1YBC0tLwEJhe9W10BNV1MaM74UPEnzU46DhPLrRJUt0U5ReeLXIxW8+S
3CE+CpU6YNq3yQeGM8VIU2XvQLzpTpU1QSMPp81IK7Ggrhk8y89f6yHbsv9lB6Eibq7wDRlVei3I
as9bcrrMrBi2nLsXLtA2W5LPk5tNs+167uhYcEGzxt5qIBFtYFHVDaFZUxlvSkG162rJc1Kh/A2P
CXCrGAzEMOo7s2508ragmcBWZETZHjMzfi0l5JFAk8tBRldFoF6ZrlyneX9loKJlVKdMlVfXCoGk
avGQDMGuDaOn1m7vSrdAyEJAvVNvRsue0+eX1L2IhcVzVGpbt1E4GbNgR3rRtIu79Jk/8C6cW3ub
WnAVtiXQykx5NggIfsimHtpPFR9GNi9e08cFkMiJtBYp5iShx7JX8Zwn52HIPyelUyNzBGEl3acU
tWykhw/ZwAz0v4b+a0M/e2P+uaE/vNU/WTrPP/Otnbc/WQgPUWXZnFzEXXy3YVE/kXCiGSZ9uYWu
jk77zw2LCdN8DlokCZi0JAQJf9mADMjlTAFUGyUBmiJW1f/CCvQ18/kvgc3czZP5hMATjSK6B7Tb
P3bztlYGKqZUmC+NzUybWSjTVxh1Hk4bd2P3zufGD4Z1VZqkRMgpNpR91jgd5aMdifgpEpSZx9Av
umrHlrHM8PfHg7piNtvZp5L4uuFEJOtVqSfRLc8FxluhjiEgbqbm7JCm8ayn5nSWuUROCEJFWwVk
XIFrQ/QcecKYwnXLKgbz5QwC2hm+kjFq1Vo7bZ5AKMYc0yNzPB4xemc1EYbcfIy0fZYNU3ETTBKg
SFT5MRF0ZFtsXD1gJ23zLBv71vLqYog3SiKr1VD52qZPLG01jNW0UROrvp/6sNNAk0lrWulNB1pG
CncaV2nHQ+6ytH2FI9goFWrycrIuO9mEhVeKwrqJLAvbBlUhDz2W+hutDJP2hiBkFgqWUabHUVih
2FQ2/18GTfE4DQbyrJJha4wzKizsHQ24rq7+u0W/3qI6Upt/vkWhpv7fGiDOS9S8/GQbOv/wn/eq
EJ9YgdqOoZr2vPPkrvs2etMhXXMHQyud78fvt6H2J5Afc4TQXz/15+iNe9/VmeWppAv94XP/F/fq
3+QhXB4BIfqh+ZfOq9UfdqFmCkQ+9uvpOLUPleOTLNj+cYj/owbqbxIlfqvKyWLhSRRcYv4LvpNZ
TaXP7qrUtSP2X/xPOI9xspmI2bfffQCnP46X7zPgfnwlbEQ/XGfe+n53HQwPZVUTFHM0yx7BxcVg
v/76AuLHvfHfr/BBBBdoFfKJkFciRnvRG3e2+14AhHYVCpV+pQt12fRPZbftolNbYMeO3uJwHWC1
Kc5tfhMM5aLF2MUe8//ZO6/dSK42y77Kj74PIbwBpuciIyMtyaRnsW4CtOG9OxFPP+tQf0lVlGuh
e4AZQHcqscgkWZHnfGbvtV1cIpF5NaQ3E1hAgbH2z79T7cdx6m+/UybB3/8ujEQJEdvL34URhDS3
Tf0wsJQiiO00YVALwwyUy7vDzKPhPylf/0K998ES+fUG+PkboB+1GClj6Ads8uM3UMKY60fVmU/s
TzGCakhwzjJTN0hPrc2mlhCqcthjoz60EE+sYbrWclrIqaTjGFVlIWiL0Y5es8ai55cRkf3QbvPi
i14YB7YmFFK6kmp3wigAv2ReSgeCR7RM06C12309zCt9bMBAzbB55m28nEgyDwrM5VWjsOhbtq3w
Lgus9Eu6CYcvXZhjM7rtIvcclBIyHsrTkm+AhsyAA+KQmzZTNGdYK2oSq2z8qkvDMItKeNCGM0ct
AhkU1Xzp0mI1o9BuppIAS/MqTc9TUWxH9uV3hZWvavKwg8q77U17baI3TEcRwRqKzLWZNO5adQsz
qLL8sSeVqCiWduWRGChdTH9B1P+QHv76L8Qd/eMb3/z0dpkSD72O6JaTujV24X456x+MrbtvT0SE
nfU7os4Cd+35JA1DwD+welyLR2WfbfqturVhtqR/kRQn3zy/fj+/fWSpdr5/ZE3kOk4hH9kq24Oy
ILC3hYW/wS305+8N+ej/2et8OvCYl4NginkdYMD5rXhtpH/RN3V6gr94E2jyIf/8Ut+/CT4JTEHA
5q3hJfopNnwQCRDDhE8lNHVB6vnRiVnSn/9ov3cCavDXEKBRezF0/vFXSKCRcJzc0E9I0eiCn0fl
8s9f4PcOwO9f4NPvjpbUQTWr66duXA/E9k2K3xF/9997kU+nrCc8e0GUrZ+88bg0qFVuybH/85f4
vSvp+5/j0/E4c1e3+IX1k0z7E/m0Uu1rL73wENF8vND/tGz2PCFcsKve+/8lv/JLRcuXRHH/v3/8
Y/fzn6O3av3UP/3wB1rSpMfoiGbx+q1jpfStIpB/87/6wX+9fXyVW6yS//kfT6+YO5gn923y0utU
Mx8f27/+539oP3cwPBt/XB6dPWVvv/8531VFBuJuhLMuAlVVZgx8VxXR0YDXAZ4o5V586FsH47GQ
5DJxsKTgD/gAA32rityfbPDutBsOPiImMX+LSm98yuaQx+NHRQR8kp8Xd8WnRwQ1BbVyU1qnbMyj
oxIVTXgjRFaSbKQn2XYyTUI8HUQiDahlNvD53mzZgMjQ5B0+7GpfzDqs00n16P9zV92IYU4J0bZA
sTNfcy1AcVOatBA2yoPipda5swCUE7m6sQtkM3B9N97ivlnpCEN4ZpkZhuaC2DOOYMxMx7TMN4qL
i4WGabjux26vj8L+muMVXHVp7AUT86xcrXYL7OlJj64brRzWqj0v604H21YW7a5ftAuv897YbV4l
hnsiR3mPJ+OG9dhWqbovSuTWR5z8xyaG7hibyZ6Y+C9gHnxXiW8K3bqLElesOI3ILc6M+kbrokcm
uHvDrYNUDR8Zwz/JgolRDObVrB8ngI4J37PpkIEHdLxtGYU5lXdsDOjjWasjjs0vGkZP0gt93hTg
TeL+1KMtAr5oMXuvgMJMuDbC+lA4meMXVb+zPC5O3PmepqOVXUqEYsyuHGrOteHMhyVUvrhtfDVP
mGbjPt0PEZ7LxumWwMNtW7lyRaKF7JpBFehT85jRN2YV42jLaJdNNOdAFuv4pSuI9ZxrzVqX2rxF
h3cg+MbYFq5+UdZcIFOfk87VtgBxYjMw2vfBntWdndleEEYNMx7LXtPNv+PcZzTkeacmH5oVmdW4
cJ3m1m1d9rOkiKKdu8qBI3pjO67MsfLTvnZ8KypJe1Wj+etcLgc3Ml8dqzNkrraHZm55NNv6wI74
q1CXqwa69Nhqj1PN2qDt43f4n6zopgxNS5deFM68yzqM1a2pETs0TEyv4RIRkQ4+qI42qT68zDHz
VvhcG2fMXmaa/YrZslRSJXb3POLdOROWhda2kLLbHuYcWA0pxuXnZ1/6odANrQS17ojsnPi1D+JD
wWmwxm8GB6KRSIhM/sYXFMKrJAT6xhG08T4wEqEkSrDbj3czkImFN8PVLLkTmeIigzFhUYhJPxhG
aviMl1eG5FUsklyRRvCtMDFWgcHTtqKKBHGRaTMqYsm9ACsPAaOBK+FKKoYj+RiM+XtyGtiEquO4
mdgFuGp0Yn0DFRu8hjE0Jbmh3hVC+mjd5elFY9dYn7SHSbI5Wk3JHksNeKPeIJHBGb3WJMvD7Xkg
W9vImKiSKmei3BOS/WFovGddyQMpdE/B7wYjRJuIS2btCF8SfogDSCQDKJJJssggGSNDjjpTT7rn
FvyIxiZ8NQIkgfljkGThHhSX0EhNUkuqD34JyQ1fdSYtK3QIUzBIzgm1JcWxZJ8kRVtviF9mkd4v
pL5q+pe0KMKN1/F3J8lPKRconVlGbnBVSM6KkqpMMZpqpUn2ShLapB6b4bHx4m0+TRcJ7yh/gm2b
eu1VPPFTqwr5OFF1BOKyTQogUZXHlDRd2nPD8IitjNlsGe7AvxBBXmwwNgg45k1RkhFoJaSqy9Uo
6+SjGw0US7W6TazskSH6dlC6myUbRwiJqPFioJillp13Q4sjYShinwXUNqzrnT10GH7DeG1xeaxR
1/GGBWSvn7uiuMUvnZ958XhZ8htdVSY6r6JCrRoh3rTS/mG2S+Cv9XEI3TdR6RrxAMWhzyYRRJrY
0uXe/F8pEbZv1cVT8db9WBL8v1whmFQNf1whMEDpn/7lt8Py2zpBfuYvdYImr3xqAcb89ifgkQ7w
z8H7aKBrYn7CZ32rExxGLvZHZiGERxlG+euk08auo1pcYxoiBQw2f0tLTj34Q43PV/rw1liSTi1t
04b8+HdTBy9UIBOj/zwxIoTQNtuA8fRcX+eifEhaw0XB0iKvIYrSzzMHCo7V7xtLex8rleUHI8XD
lKPPKGJW6r067CIgBXC5LBZY7OWqkuDkIcqD1EmfpxCbhDYSfDKW0OzyfiwDB8UjWOPZu4yb4s5q
YYMgNkCgly1nhPLdRRE3ppo8hKlxW1DxnRyNsIeKHRKrVCcCCqYRK5HHD6EZkY/OMedmsNPFoL+R
mjNsIl2ZbsvG21F8HdNazBtVlMALBPXEdBIVnuBcaS5GYl0is9laagf71hJnhdPexKxIVu1cnXcW
cp6oN7aZ6sV+GHUvc4Jct4qikSyPufWNBIlo0tyYbD5iASDQM1s4iW2yH3Pnq6bFjk+ACOF4Dbu5
RTJSEGoMothBqdDWgsTodd4S12kt1yGblB3qfn41QzIe82TJVoUVXXh1ciDypVmneR4svfKapjnY
nqZxQOEk22mZEr8J8eQoI7EhGjt/GbKxGXL30ohKgIq95ufszVZ9b1yntXNdda848t+xmQTDzK8s
aeTqS+ue4gFodIcBnGqvBzrBwtGQ57Jh66R7kKc85yaO7bnbuZV3zXykumwK7bwRqQjURquDxEJ0
jYdC3y66fmuSOk84C5omxbqry9k7NGO6yxwi5+0mvFA7pl1umG3CJD92VX85hdW6z1XO5nJTCRT7
LDgfPLMzt6XQwTt0TJy8HPB/4gADmb/oVbExS7IMprneF8Z4PXbIcLVleuOVRSCM/I3qRDuVFVvH
RpsvU+EaqzCLz71BCc+4iZ4RD3HDQ9vaA5a0v8ZK4QSNM3hWMMOfCNQFoyiL85bV6UU0Ks6hjqru
SnRAg0kHj3ou8JqpjGW7r27tTofRMlZu6BBDInY9YOnZAoxlhO2jB1baN+dyZ2Y1L0FIeg0Ep51I
HxosfsVuFG6VIl7ujLpifa3Pk49S/MZt7GOvzW953GRrLbOugUFFRxtdyVKMFzr7QM1L0afaKKzw
ob+mS+3t+8p5pZ0G0uUu3doaPeguWnfVk0LEG/E8zODmYFGoD5UDK4Ok81WTmQFYJTKBIndYaUC+
1xVoI0YZ0bxJtfA9r1GBtTMBH0WvntgEVL49UDiGS35s9FINFtVudtGwrHGnrFmZH6ZU79as6h9T
xCJIKfr+LCbr59xguPemqmF2W6HR2uWjOytSsAEN7Z/b6ef+lZnAH99OZ09d9/Z7Ozg+69vNhMsJ
RJSKwcnQKQR/MH6SWiD/97fJ/q83E7lqNLxSisvlQwiNR3P7rYP1fsIlbPMVaWOxHOju39nBYRT9
fDNZjDjIOqdfNpm6e5862HHwhFJX9nSaJ6NzgngMU4KDHLboAHRi1vvhsV/gOwYzkKsMLY6Go5HV
YdLv64UodDHaS3bWkU+zBKnQ+wX7TV1WGEhKMIMvwp4c7DJ1Gy5BH7UU4JFod8LWIu/dUwutv5m7
jkCxPnHMcB3Oy+Kt8xq+GfQqRa65GhvwHT6jbOKsXRhNI7EfIqEFMATbJTAdDUOnFESs+yHTtoOa
Ybpox8i07nINW9EGK8GeVSHlcInsclcrI4goYx7S98lwxSaC1KQGUZSScIK1S93FiK0OSujmzwle
0LUHP16BqDSPgZK39mrkTYwkDuC+WihYIa3Weh4tzphlKYxtr85KTOsQmVtrjt/tSSFRoXTf6cPN
VV9EReCAMt3CRcfBOTKrBp8/HeMIvY0rS/4oKeAE9rgz81Ypn4m8yOgh+gzpq46+pFUR7wyWFq20
OVF3bmvSJYes2jU3R/a5VNGhbpX80pxzmINC87ZuXb5lzmJtgcuRaR+P5pbjH5BRh7UsixyUwNaQ
X2YqYWCNh2K0HvVV0TQTpEIsR5FrvMUIBHZWm/FYjDk1CDd40FaRwzhMea4zTHD2kg8M7yt3G7ft
uzMRV1/rNPBOwVhiPbWYKPJed7YVRNgDhrt0rStxCqOWnUNU2dUhg52bDCkKMfIFoHxN85XnhdZ2
8qoi6KTDCtE1IrLWhPE2hGgvlpZv0zW+5GWmU5Sn0aptYRyHE0dxBet+BYECUExlpFs03c0V+WP4
fqOpv3IS+uVl1ho0QkCC99wv+WZRPRF0cPWk5qQOhOYMSIW4lUJRZjstR8TBKvffC5j/6bnf/39F
vUxz/+Nj8zJ/enlrf1vQy8/6dmzqHzBSjOg2RH05xPtu8Af2G486x6PNucVi9NeCXrK9bUOGw0Bx
+ajafzk2YXtTD+Oihx9js0r9e4O/j2Px16G9HPw51NeujlRCl2FCn4b2jNpo1k1nOvVizIj6yh6q
kYAQ6TYiOuxUaE36gpqrZPdj3Bo9Qs7RUMIb15neUSxvsDmYq0U6mSJc4qr0NhUOBXzShs+t9D2J
nCJzHMpr08sjRNBVuJ3G8NyVfqm4dp4HI7mxx+Uhlo4qXXqr9Nr0RRUXFH01Onj8V4V0YhlYspZc
v+G1GD1pSLsm6mBd+rdSd0j9EP0Adus7U3q8YFq+pp17TlbDlWqKU8x8qUKnsQL7d6XHqroxsWuu
UqxjQif5TXK1VoADJpT7ILAj6YpqfKMZ0r0q/WcT+iJNOtKYyHXIc3GpDXNtBEYWbm3pYKukly2s
zdvWg7WKsmMwjGBA27dqpO8tKeY9DHPT76UnLsIcZ3mvRRXSPOF3wjfnjP2XQcXTUKd43xnejKth
ZklnjwPHsJjfUEPtR83hFsCY66nxfaQViNldxc9d/LomE4II316qO4BRnQs5qo2q9r7C3zcM89Gp
MlQaC5s8B1uuth/C7EqXxkCmdNcuv6GQ9milVO1myvOLFi+hjacwEwsXI7k/K/IqGDjiPCxwIKY4
EfUaSyItmbmpBw0uE35FjcgzJcfAaC/qfUIaIldnelzwONZ4HWs8j1GbeWjU8zcMr18FrsjaGM4E
Lsneszecwl8G3JM50+GVJQ2Vbc3hvEiTpd417w6uS1XaLxHVnPPPdDbhy2wgHITmO0pVkvn4cSbM
m7V0ceqmpEiDikzdimAecipTpHxtWX01ACMY0gtazuLJHBDl8ZBj2ZADR7xoZ9qYv4Y8kV5roNPX
YUhiMmW2uavs/hVxN8ra2Li1sKNGSYKZN2wuNXXqoVuOYs3kDKmqMqdrRTpaZ0bDK2bi92nPL2kp
uWgt+sSVWejX+JIDry7Qn0uTLPw/WNVg9C70AQNxB0N7b/CeeyzA+lXSahtHGYVDb95V0oY7T623
DzPSBiunE1tzZM+tDpPpD41GSLa8ahJcvVY69d4ZKv2+vArjMJ2DvkDLfDci8M5W1oiOF+BkmJk3
RGXS0SmRcZ+YqfQJDjd4ysmVJJFSlKa19qZxnbtpyhDP28711FG2u+6axXt+SABQBAUgxQB3wGM1
WilkON5uecwjXU69vYoFPhScUL6SYKpwPXHj1gKPUhyfRLy8wgGmpYzcdZI0GxVC/5AV0OWwDQWl
7cZr0KPIep0LYVJ+1Am0QvchscoNQZIh09Z4Q6+wT+jUIM4yjKgu82TYIBHu/UXpjlXd1ZQp/cGM
y+giz8RdZiIxmg1tS61w0aXtpWiGOy/zcKGbpR+F0zPZrvdVRUSjyhhDh1CZ5gbKgmZZ0MAm9xaN
+6paGMO5hkYO1Ihqc4LlmMX5mTph3gIM6IuEDrrprcdawV+jN1CEjOx9Xpq7OnXu6yY5z1vzGTEl
Q4vCQf7oHewBh6zZxIxOm4lNQh8pMhroGXPjtauXZ/zjIbhMlwmnpnNXjEx9lxydgTW5cdC40dpe
FJPRgEdwN+1/1fNmmnnrOQs/Z6xDzGCgyBDzOh04BXTtQHbKMRz6M5jVcBwBSK5QJsSrcCzoUxN8
yYPjkn5UIJYNs/5NQeeGL7dJN/3gYQKv1Ysy9JRgzAcMXKUGKiB8UubiLM6WO2VmGkBniAGiSW/m
WrAQnqZd3eHIQkuZrZ2oeZmI8FopmGH8qijvSHo9xnX9kixO70O6LW5F2e6UUicxDBNFWPOvkTs0
yUNGCFXocmxMe6eoqbntgXwAboe6f/H0yaTuyXnWumKYrFWuRkoLPFObSfDKozIwZZRFF/ad91Uv
ut75eb3/T0Uk6RF/XBGdP72+tU+/rYjkZ32riGgkKV6YH5KyTdyQbOR+WYWqP1mmZXL3qgb1jeQx
/jriBPTqwfRhdwli4ftG0v6J0CI0nnyCoTH8/1sVEeXA50bSBS1FcjYhSORSup+hkArPSKf3WgQy
udg40sDQdxbiCTwNaGUeajwOtei99YLrwZH2h7KIzvNq2Kn4IkxpkJg8yFTG1PkU8EdR4QpZvJR8
6JGGE39FKY0WvbRcUAXdg3uARpN4XkCkwos21AxG3eGiH1AGaeOjjYNDw8lhSUsHW/SvtkfmyThF
960+qLsS/0dUTKHvhKSm8W1XmwGXSCXtIpGmP+K5I4tNWkmQtNPCKDaM3j58JzrrDdUoIm4WmIFb
pQTs4UqpsvgKi87TgltFkfwjTxpYwKvSDeNpsaS5ZUBEjscKNkfnVM8EPLzEOGEK4g4pyfgRB2mT
6WrtklqA8SOxc/hoUmmoSVuC4zo8NoRCXKqlwZGf5L0/SSNOLi05CDtHjFHTC46Qzs+1IVllsUtX
E1uc6mp6S/l2iTEDQ4baE0Zn5M4Z6dY3HV6gotCuunJqN2mOv07BLxTjG4p7cawrrHXOFBOEjrco
0mqJA2cpY0vjUTVYOASSDvFPrC53mFEhAlXWgKHdSdmDYl9C9ptuMKa/0nHPh2iMIf2XKssxaXwy
Jlch1cM4s6UnynRrTqYwvJqlYSpuem8DAB0TVc5pGkljVSktVpWtbCuZi5w4mwoP1oz6ddtF3C95
HRcb2lkk/3i2IPsgCcZRhY0rRBjWEAYtLV55VLz0XoynTE7scmkEy6UlTOANy/GI2RFoziSrcRBE
GMhwzW5SaSlTmQEmodYHEkV60PGdZaETrx126WsyfHggB8dixopRrdXnwmc29zK0qoFJhVzEQRrb
UmwI/iDNbom0vSFdOWfbyrhW2G9tDWCg9bQLbvzSN3oeZctMxToaE2xY0QxDXrFvSlx2o7TbJRRh
K9j4+a7vBPzraCJ4EHteiE8PpC7FXBHK3r5kiSrtfA2+vlAa/BozN3fgoR69VH+Gb791pBlQF925
UqAjixSXghjH4BI3z/A9SFObHJjdZefZVyzOe/OgLYYmDYcW3l7RzsXKmPBNxg+CPIYNsPbKz4dB
RfEgNjNNz6UzFY9TCfGdgAamNB1tSmPN91COsVITURkIKkF34karKpL/sqyCxTRA482NoEtgQoct
2gcNWPOxbejnG5eOBpPF7VKFJ7y3Z4Ng4DpU5XvSNze6Ee9L3T2OLu7VnhJ6ibd6VhxiJT5XU5b5
1cycwMwHxhytea1W9oijtRk3jYAfaWARdmJMf06kB3bGN+5Fu24yj8xc3u3e2XTEIXA0IbwLi/mA
pPNJB9PPsBvDZiP6iVZvtA8J97wrIoERPHX6/qGMmrHaiLg2Fx8zXXVjTEN3XwkxPYpQx/Zhq93Y
7ozEtb5GWWUd+q7Oo0sgJZG77xvF/BpGth6ep7Cat4WXkb7phQ9abNqBJXQejZC2MeR52ZkVppQp
ZVs68dwFFmXDiqfwcTCH3ZIxV0K8sIvtJWSaTl08MYVf0VdeuctC/M1AyVcsC5VscZnbUXY3aJxw
RZ1wPGXkJQxR+h61zlVroxZRJigtSO53+ZzlOJKda8PrX4t5vG8sXDK8i7duiIzdowtr1OXSM5Pj
kM2WT93zpAnO8arEM46RXpu03O/7sNs1ObE/ZRee5kzV/ZnUn5VCWO+qZACX7UvplOqM8okWO0ZE
i4vKwU6VZOmzjr2qSsWzwG5VNiBMFgxYoYkTK5KeLAdzlirOyrFaF9nORYFQLttkSLbK6J4i6esa
MXjZGL0IOd6H0vnlYAHTUCGsNOkKy6U/zCkm2DU4xmLpHWuli6yUfjL8uKQy6gkif4wAM6YzY1Q1
v5gYJekY0pKUbNa8dc5CrGqV9Kw10r1GA3rbxPqFKX1tVoSbs21xumF5y+zqssICp2A+8ivVfkjd
8SWVLjkSCo6T9M2Nood5vjxYGOoo6k+zdNjpWO1q6bkb0nqTeJLE7uIsxpWHdS/ybYVVx4CkqDQS
w6dLhL0B4ttybhwvM1jam2/26NHGStef4fbHVPoA0c7Y/EWxabEImtIrOCSQuBPsg57tcD4j2slG
3NZKcgPQj1QAgOoM2jJwcSM+xEw25CoTjlZaFB28ioUWvaWet7OQzFYKHw1xNfYj/iZcjoUeb/9Z
THwsJkg4/rN68q19eUO3/lmOJz/rWz0pJ2y4f+gdf9mL/1JPaj/pMNlM2h1kcjQv39eTFIs6hSSe
Ag+Q5XfmIOpJUzUcD0mWycYDt9E3eeHlz5MzlIl/aAegCP1tPemAvYQ5Ig1C5mcKvKHok9Y3WXbS
VLNvD+AL4PQkY2Eq3BGZM8GBlgbIoUmbK83J1oNewHIsdmK/V8N0W8pCYiITBSclMSOAzvBWkjrd
HlUBZPBLKM8Wu2d4AdhG96FbcvCwXbdYBOxq3cr9hOMJesRJKPnIDEd/CiGr+gzCjzVHWmkTYOtw
yOHx3oLpWjaDK+4pAF9htV2TmskXMJZ6FwlrA+uq2pmdd0X6OCv9Vg+IegPDJE/YmnwzYpCLS8U0
YBOoc+/j3Ty5HMxTkUorMGd1JE9t0bq70WaPUWTTLrT1R1Oe8FM1D8EoT/2qasaAuWi6q40iD7zW
cfGjhxziTfxlyJoe1z2ghihDy7/UqrYxYjbWg2IwXZnsPt7F2K0YvNXQl1Y6+iJkhkq+i2OVDFVE
6NtO0/Ijasfo2ukd8WCPqJQrh4T2TiTWKaHR8CMt0S7mmSQgYeqXwCphsnTYOe3G6bdtknabuCoY
NI4FL62n7kPoNf2u1A3Ozpi5/DxqJPiILOwOqdYyexl64+jWLSvXggy1iO+hbJKD6Si2tvcyoo42
OpiNcXYy7VlrDHM9DMrKadDTx2COUOfQFmSogNBercxo2ahWcWWiQSI0F68p5NDsjR7koemys0ql
OAUVsM25e3wscOetp5x3is6DVCRrq86vRQzNTm8fdSU7S6ekWjV6cWuAfQhAJryYHPF65FyUheA2
jXsno2KfEz1Aw2igp7PidDln3Veu1GwKsjrlpGUARcxSvB8K3NgipOQR6FuCYoleFjHhwVArOGue
hHohyVpZXslqu7Ve4NO0K8bdGX7fvlsbsQgGjfC9AjGH6MV67kuL4JYxJQgRPRmq0IvenuAAqBbX
d1Qw9XIjyi/+JoK9VUz2hwPOy8d3S89mgXN1F3PcznEyrlWhXjgWzrqMmSyrsAxmFKGGNmm0PrFA
epDkncI6TP9qC42mbK5uJkeQqjFPKAnKzmHnzZVHhcME1mSS6ThvRRi9MqHMfd5dPsS2fpVC2h6s
EtHmSDqTOji4VOciqDTpZ6smb+Py6KuaGa1Lte0RulogrSgRKmY6Scqg9lB2fXX7z/3xcX/Ig/vP
5hFt8nt77e8XNMiqTEdSg2E/sdjmQ79cHwaTCkjCNuB0Tcd3+uv1AV+KVF3sXaDo/63n/rbXdn6S
plN2N4ZlQyBmo/LpuvjT60PaXr9zVcgFDVIw8l/ZbfNd8AX5+HeKK+Ln2C0p6nIyivi+MeiXc7Iy
sVPjy9GWYoPagySXam/Nij8K776oqOXVQVAlevZt6gK6q/p9gVOoGV28NY4DHyhI4qm+yytPCypd
vYqUEqg+hTRAkzxVnnVEgKyZoRbER4dJoPCtUoVtgSJo1/X0TMWQDlcqAk/c7PbNlNmL74LoAR3K
crI01nWMDqkR1e08K/eVVd4ZtNQrVed0V1v6U2WGMugeOKA5LruXdjGQcPGWiUBE1ql+SVl5r48d
K6Keyizss/OxRlI2hOX73AJSi8GOhiYCVb0tDGYj4oQe56nJaTat0SDYuIpfm6lY0JiFlKPCDSKV
sB0mAdomc2yH0EjFnPeTqBQfKexRG5yTAY2TvOjjwjsWO6+DlDcGI0jyajvWD7HqPSqmA8UgN64y
lkC9VdxnyYLqNV3u+nbictTqCy3kPq+rd13V1mObXHuDnGgApKyjYq8V833WDUelGt/VlpGGqswk
XxrGgJqXsayiZP3KyLNd0ym1b8S2D0cAvYyuDuBTYveks75n2dtk/tjD9wRB6veS8VyljFALVvaB
m2WLXwoYgLbqvMRzdCiJktr2YUogJzlqpatT8Rq7YWhPYd7SpQPvOI+btoGibttDseUglJuBvNgb
ZFt1nXXONUaDXHErxuW4MYkkyiBXZbkA9ERkaFqKp8jGw8TX9CsCApEBTdCD0OHGhvKktlHqtyOi
Py2Dnoj+nvLEPcf3QIigCu4Jj6ENudVgeFtKFR0nvN4X6Gn1CIu+A4l1aYddPIoFwEdu0sY4a5dp
z7ZUYDIQsGRfDIlLUW7ulaa7p1DcqYN+P41I2KK4U9d9p2sXyIjTM/QcjAc8LMqxxXUfjrCqSsFa
zjCVcDuTfHNRC0O/SnQ538jGrYfaCDPCocjImxWN/kS0i4Vye05O5CyA4rLMzewWm6Enjw0pQ84c
vnyeCWnTx+RLFUHy9vosiACssj+Y8xPe1FWCQe67Q+3fRef3XtAfVZk/m8nw5dkaBnjpeZcl6Hdn
RG2wu80VTzvlBZuNV4KopmL/t1+C8Ah20uw7NRWz/Y8vMdeR6NLENk9Z9zxkl3N9W3o/e/T+mZnr
nOl/ckdVJKH+TovDJ31rcT60Vy5ZSLJ9AIPAh365oxARACU0ABry6OnfQffRXvEvZnoUeFIT7PDQ
/PuK+lBlcelxfxHFqUs30t+4oqRB6ccbypTNDXRETedr6e6nR6OpGjrqOI0vWZdb7q75UDhZzklD
OkNJFn3In+CYSS3UUKNQYQYsRVLISPt2436Ip6YPIdUEVQi5kBE+1VmRqgHwjVw58kN34UEjkRKy
Acj66NLMyqRgImPG0vs8APwXKI2XHMpZ54VSsENCMvPz2WY+R+XtkYKIEBFZLuz3Jt45jK5QFKcW
WDzhtNauiVoPFGjR0ac0U96eQJpiVhmMeXKCyGXCtspcm/lpPyhvFu/pf9r7n31zUor+x4++xAqc
DUn3r9MzQ7bfAwv8uDcyaUw119NV10M488ObAPa6aqg8zygRVd4f3/ZGFhAQPsflA9hMLIkO+Vao
mT+5vD9c9SNzBV3j3xIg8nV+fBNInojlYuTj64EU+aSjaVl4dZzO0Yl5J/p3IkX/Kn7t82ZK6vtd
qlHKSlx6DlB3fjnfH/MF8GSvzmdxEWXOvowHbyN09PYbpxDnwkChyGoeVMYiId62AhBupfWudaMz
WyPOHY3FudM6Xrcvo7A5H1rG5H7xAeKQBaYIzA9Ah0rbvASQ34KqntR6l5H/GgDXVLdCYj0QzOmY
7Wxti0OuCTqJ/zDsWoVraV+mEgvCW5clkESFJEpEUxW1VaqwJJM0kbJd4vci7UcQZgledN/tVCXw
8tnUU9/L+VOg1eyag9gsVOMGTQR7groRzVUv+C4SskYXfFsrRcRfjFo7xiJu2ecqzSrzsr0xNtsR
Gtw02NrK6ZWLIR7vrcy4bbzupsUiEJXjvW0VEIFtDD5ZYsJgQsRsNmcxSTIagT97rR2I7xD2kXku
xiXSmXFGQTgTZGcisViq+cAW67GGV+rnuWOvZI5Gm9jpjo6WMb76HNvZzAoboY2JhZF6UXsjpJ70
SFZ8c2Wnqx6PNPYBo9j0QlhbjrvlyLj3OIbKVjDa7ZUk2ha51a4ZvECPq4NmSs6LScINgFYD1Ky3
y9Lu2Slcx1aTb9PSAj6tZPuWdQK+fm1fdqIN2ri4qdr+GBvUY8qs2i/zmHX+3EYT5Dl7I5jPrzBE
BKYJl1RxSzIDw72om/PJLAHJkuDJAJTZi+uOrMxS68YyZwD4gjl8V5bWisW/vi5CcMpMe84be1T8
yGv3YybmbZWrb6Y9vGo4NrZtbhdHwyMcaBVnVnJVg6yDNyaJchq1JR5X5eBlqbbtXPUlU+L9YisX
vebc9bGyzWO2QO7cIj/ABWFoZ0vhXo1luWH7s07bMOg0BYTrlO2mXAea2+vkHPOLt0pn16njg7Zg
66qtSGpzvi72eF79H/bOZDluJIuy/9J7yDADvuhNADEzGJynDYwUSczzjK/v48ySSqnKbLPc56rM
SimRogJwf/fde67KZTRupgM0kKuFP3TQilMuQfYmvttKedVb7UNRpn1pLhdGoOyE80BrSekuB0Qi
d2NRcd041n29aCuupW9Dz923Q2oGLXZh6fNVGCSaZ+hIzkEKMCrUSYbawm9G7QIcdeiN5plDiB7m
yIsWUm3WUm+cSLlzp/beZPcxhYTnrYhzbpBSQTzP9AHER5ine2ZRQjWD9lAp0Z3r5vd4nvEVjRsn
rD51ZzrUQjlMhCJJxdqHOhHbzM56WPBIK6UG/Kc3uxtzTA78/Y5Wor4YWK6wKQEpAa8VbXSyG2Tz
pnQ3KbkOIphymdYt4waZaQ7u8y5Ib6bAodJ5osAAex0JkriL/FpJaRyVWVmKs1iO6ZirRx6Li6Gy
4sveXFDhsmZgGOsrWz5hKPaoTqJjCKgD921hGQsN1n5QWt1eD619GVALuw4yxqfOFC0fZpKNw9xn
x9klLBnq1k2n0myHS6ZmwcgGQ9OS41CCwavScUXSErNf1YabVJhPtn2b8C/v1z32EGdqi4NrZPYp
wEa8nhbijSwr3kz60Dj954hHTvBvZN3R4JPyc5zRGufwgsKdharg4Drtyjf2dV4SJL6b6DWUU/VW
6piGUb20fbpeymQ3JN0neYkzZKZkEwYsG4wxeya8vIls56WcoXK4LRUOWp1j9pVBm7ZwV4kzX7QB
AOI5Zl6gQ6fW33MamrdVbTFoDc/0Pmwts2M3FPcvbYf7ruGfOR1B/juPWtE+WH3xaGklTQxTcjtl
80Uhxl1X47RWxuQxjOZ9PPKITtNpCPJtmINmoUThpuuWs9Xaz1NkXZYMRK45PI5L46EsHGJnGTaD
SaXApMp6D4ElK31ZavKEIrG3KKrkUzNyWp0b78N2itaRQa9hYtm37Fn5CWaIaWHh3NVDfOhop/Bo
dX3mJDjWAWOjEhdXMdvGXZmEjxaFvSz3m50l53pz9pV+OhkFf3tAyResp3dNGh7YVD6LaiBJUnqV
m4Kld3dpjuOnDXDz6emr4iq+BZG5zxDVKE9/Vbv0wM/ajxe6dEAR0RoxX7eVyrdpItGqyq6x7JdA
rfbDnEmfwC3ygo9ktGxIDpdw+qMrjKSfgYqZaF6KF7DQiMtLfELz2NZBfQc0eWEyLHdDCB2acuf5
QtMwQOj6Rd/ELza5crVhbtb1stsUuaoRxjTHK2jjBGQbcgmp2zwVahRuFNU9qxC8sE/W9bHVnNDr
oinfoAN9jzMl92mnVJ7GyubzAuB0jXsgWBkg+t8n0ge+jlAEzX7WT1ge/mGBJVcQYVJdaXML4daM
R/nPVxDSRFqeF4FymST3dvqQijfT+mfD7P98CXnT+mWYnfkU22nPl1Br6l+cc1+d6bL85Zr5FwPz
n3cy8iYl/xrEUrgbMjYZv/01dGzD+Sji8Kwio7gONKiLabpTFP///2UQCH+5FP7xZchJkpch7WYS
d/nzXyUsk9lw0iE89zkBECCmrc5zWN/35pWkRNptw9Lmj9Lhf6douVj7+1Hi8rX6C9+Z/D0/hmjA
ZKoNKJCeRdk3J1eIP4do/RuVrGRoGQX+owH/mB/cbwzdiMDUAgAgs2Xq9sf84H7Dhy/4FUOuH6V/
/x9M0aA+/vRh+XLioxmZch3JA/Y/0dqmbnPTGvTlXEnPu6Z3dJkJ9g2VNd9rSb0N5GYGJ68fVP2b
2gcvsQ1LSZ3MY2sFmWTv3ouh9lVrPlkLTdlWh5UlAE6uhjBrceDMgXulZiH1IIzM3CnVbTqJ02hY
F2Vebt1Q7ECxnyFVmdyPlxR2D9AOli23tlX2G4TYD8UuiPcIKn8HMzw5Nix8heDMyq3JPurSPqJQ
dG/Ee9UaHa/S3QeoFFetnp0t1p6YOIqBNvUhwxwwb4OJff1siessCaGFpQBHyRjOVkKnUVaqyAPm
x1iGyWlZ+op4NV9ntobtojQhtS2hx+ZslyspvUqT1vhBNkZrbtZq5wHlP/Qq+V69GikP0R3hp1Ht
xZm1EXX2FnL96Ga+9WqgHQmGWuqVZrKdiH9uHDWS3IhdUxTcwjqBV56GDzPT9vpcHg0VvLuGDy4g
l+q50rIapDjQ0rL0xGjf1lpsIwc2nafg0kBobMyzm9n7YsRLRCWVvbJaK9uzKL600UKNouAo7IIX
MFx3iUK1fawYO3MOPki4YZCl8Z36MBysmLjpncX4BJZ3V0YBoChmrLvZFS3wB2ufF3i7zLC6Ya+5
m3A3ehEweq4xbe2VcRtQxDmoK00l+VQlYhMXuGqWKJ6hUpDmssL0e6MVUDlqjT2Ysug3otZcBJUU
mRTfBY7IyFdY8m6GL74LgPn8lGLr2NsS/4I8Mnqj4qb7CjbMJJMHA6GXla07ybYraRPbNW1YkhnB
KnfQ7Ogd9DXECO7Gh6WKYhp1mn1Th3etikCkdvrOVKghIw+ybqPeWg8MJu5QlHCuG5mV+CxxBFMx
MLIAH56qdnYIjFErodcYJGHseENQPQ1MEmuQJxd9QTobqLbXuMn10rm4GUsIHqN1KmS9U6A8dKOm
euYosxMsGO3QPDvsZ3tX21gxe+vWTMsVG9pt4ugXmc0soYoOtGxwHtT0XkwMSbkV7EO9trYDJhov
0ep43SRlu4mj4lWo6SnCwz1lYbRWhTgVmdh1FpiT0VHe4yC+x4BVe6ESRthv1Hcjrh6G1PUZndGs
wI6+Do21VjTlmZxOtBo7iG3UPnpE79NrOzVfyIfJO8K7s7TH2aouF808kgThMlRaJNZL/VQ0OWgc
iiUqxz4a+PCbhm2Aokc3VB1R6xbPL7pzlyprc3aPVQyUZACoRb9HA5NEuYsHR8Nsnl27pH49vWxw
s2Mft/vAK5TlKrICcr1G5xsjJsw4WSuKvVtari8sHWrWPa3wmpTbfyROTGB7ACtnxDuvh0rd6GN7
HByQKmm+vAh76DZd3niUGNYW6kWmJFx9hvqiH5c9ifY33UJoCDRKPDi9MUIkt11mvYkmqmGNEV0s
auchVPAeannAQ1wCuDKiDt8A70JIOZSZtQW+xsuvg+bfE9fgsPv7E/f29XsDoqPo/kq343f+PHc1
tqj0N/3EWP1y7mqcriw2HeKQX4Cr/+p2xNwM20SdNvgfnSXor+euSqiY3aDlcgc1kRj/wbmrS93w
l0va17mL35vvjhiyqeu/dwobyVAQwJjAO8Ct8sw+rjbsPZN1BTYqd6ZugzkD/iKFJMPzmOTHioFg
a6uuQ0wjjr0A+qxPQY52E4b2mrc4E8hcOOzfYuWodsurFejLpei7j9Gu27WTpLIeNLhl8LZPxUC+
daaOcVNNQ33JgmedhNFDhxFjBD+H/8095J1+MBvtE1XlYYyIipkpKKXGdzR9JyjOYQhDC49zksNJ
xpy3MM37k2q2iDHYFokmfiSOeT/ayks6KB/jwNMifeveNM64Esv8vc5ZGacqkos6AFBoCvjdKUfn
IOy3OTIlacKWOIiBaFsPiKGfy4coL691O1zbJThvZzZ7r+4Z5lH9+vAUxnu7Mm7q1j5RsvuxkFKa
iytbq+AaNOllQdprmZLHHD9ioAffo8K6Gywsf2ryOYdm5ceZfu02yB5uT6Z5CFtekp1OjqWraJGJ
MizsGTZgQY1lYzPxh53ld85o7njr0+mWRQ1RxJ7sGAoOsAIKIdsgEWuls1sfrQtN02xXuWJsMdkk
N5YGwGRi5031CukuLcZJb5WKcWpqElfkmgFSUDtx4OYBBmNiPFRKdcsLZ8+yJvYbA46Tyepj1wdi
Th+Kr8Y1vaV8LWllD1v21cmWDYs3GfaI6zEe1wXNbS0NbhNNblHHaptEGiGU7iuQ0lhL/J5npaP4
QuO4iE0t2DCda2cHIdJrsaMigMzFpjLH8pQvenzP2frQ0J65M2zxkrJhpGoWR+VoopEpVQ/Ianbv
REE5ZG7RIBv024zRcddo2r3SB5rfU1WynoKl2A4jvqjchLjitHpxbmWtAyaWlUHx7xTN5R2fAO52
rMI9yoqmq2JmGe72Y3WHQfitJU5wdOA50Y4XfVRaNFFgAI4qxhWu4AXjNsquJlcoNnBgnO6aPmh2
emNnt7VdZ+ehdIq7VJ87v6JjkntEdVe6nd91NkE7yeoNY4vQPWY3BsTES4yeY6acz4TcAk8xGqD7
aSnWVqyPx87WOOABOB26GZZ7UHl1ND64s8lqvVBneCz400MYLCt9MpW9oojxBULXCEqyDvzY7Yrt
VJXp9xRlf5f1I+yy2iXhHU27gYvEuunEAr6Jm8AKA0lzPRpacBGFBrvtYb5ssSNi+4eX65RUD9Hr
1Wwm1Z38jlqDk+IuoKa0VF2l1rSs/z2Pvrw+OvPz359Hlx/D6/tfzYD8rp9nkUxj4/tkic1ILlc+
/50B8YqyC6KTlxPFBEzx37MIDCNZJFac7Dclu/GXGZAsk8p6SSaToF7r1j85igxD6gG/hbFRCRAl
kCb4guZvekHA2WNYQTyfkcSMmQCcHszjaurE/bTo40qdERsFIUB3yW74IL/NVaZ4joIOPUYQDXCy
q+w9xKFNxZmIVYkpzX6D8XDKevFAovmeHqXPnpbuWuYRY+E8Z1VeUcxh0+pJaFHV84tSphgHmWdM
F+NyVOuIbI5qrmrkHhv/5sYoQaJpBCJ1pksKLaynNOPaNS9vwCYKJiKxG+v+npD0VUO4MnbBwqvC
vc2JXZblFF4GBDF5qdIrQjRTc5Pem/CV5IQ2DXCNCSHO2u33PaFOVPOAOoliU0TKI9UrnmDGtHRx
mREHXWTtV+HQ7IA1j6woodGE8GjtQoYziJNqpvZeivjcpvTrgFuabxe0s3igj1SrWm+piZ9aiUH5
CrEj9EklWQvFes6XlNjEGDiYCtXswNPLC3DUSLtOgaRcoPnKICyeY18QjSX0sawMrb+1Z3qhlsZ6
kAGP1AvjxrwVED7A/fRfYdvJbtvlXhtH1l6DC+/ZtygshUzCOoy6nJm6SVghYWb6AbnSFWLphWvD
xWvnrZpNu2Uc6AFuw3AF9G/L+T6AaQahGVjavemwB88d86MCrJmpRHqHbnlZTNQDu+WDEwX9fVcU
L3H20QTWgfxMieey3c99f5wack52UuwwginrKK3oxXWGk1Dx4qezccQ2+zib9iGviAfn1vxaa1Z9
T4ffTZibTJwD4fiRJOm0nZIk2MVWYCDpBjvIQqUX1saRpKa2Ekrl7GeFCwfbmwdlaFykdmUzCp3d
2kCdDR5UNxj3i4Czq5YVDL+w8IUM8A51tY3jCEyHg1tZDzZGb3EnY4fWNP3DkmWPmaV/0k+DkJ7U
T6pbXpCKu5+d6DnMCfZGlJ9NHQJxsTy1TZHzx0e7gFJfj6DYupi6Q947fJqT5WnoKE3Q6tdujtck
BI8iiX2K456pwOv8AAEfWylVJlkjKwmbe5LcA0gm7hKqkx5TMkjVQui5c55r3MCrprdPDR7qJTK3
NP0+arMybdV5Zunav9B6dcOVY+NoxdkwmdQqlV5ge9EvyEmwQLELWuihNRlsMIr3lC1ZP1B32MqW
rhiUsqDi3i8t4nAYklw14P8Z2UN1Tvu09O3ksY94zQOiF5aasp9ryTyxiJL8gztbLsSmMuNMb5y7
ogiPbq0+L250ysR0behAF+kiXIlavNPjuMsFqzHbqfdDn/MBDO6yhAYH+iCAtcq72qDd8TF+gtAV
8VqgATC2r1thvAtQZ+tEGa/KAGdz3mqSFKU7BE9YHWZ2JFYupj18f1N2NafiJk15r0RzVe+DIVLX
QDXHTWGLtynoXtOsvgpYzXqBYwU+y+nAy+daMGZbx8ptzavFcLeY5SKc1jJqXBUaVW8kYEJSyEtZ
XhhL+KaRTu5lTDmXgeUu1S/pY0xWbUUh4py5LBTJN9Pwt6x7J0r9Jq3gfXb0uFVk7Va0KeLtlSHp
wGwuFlLTHenpmBR1RJq6kbFq7lB7m5z1RN6aLDMJfBLYVRfRfCtD2XMY+kmU9x4VBX8Izf+OoPKE
/vsj/0wlRfjB8f4brVn+rh9HvuZ8MyFDcew7cmiUGZAfsq+GgguWSud0dy2LxPd/j3zjm+AOgHGK
NsQ/MsU/ZV/jG3BG2WDBHysdw/o/OfMJZvx25iMfIyADZFKFbpJf/s04UtvYBkdHDTDpawTCliwF
cEs07qhMtXosnFbWcalz/2Im0SEO5me6BhavcpLvxmBpvjIite7sKMuHdW2o8EqqGu5PEiOd0JBS
PoTNYM9AjdSW7lEerxXIJtB8Y2U0r2YWxB9drwbMB4UlAaLoUgXW4YL34ybq46Red1kLRw9OAfHC
JhH2YXaYaQSKThv0gltCXNmy8wmK6gQ0SXFDmlJT2CRWHAwYdXmJuBqLHElyUgzkx2zgDGtnWEpR
Ex6yXjtXS4mGrSL0jteasdBOCUvFUC5MasK0MNpPWEU8y27YfKO+emXLlKq3ZnRRmfZWrZSrhGf+
pgrcY0eTuwegEoSDaMmItWXjgXRM17PNcrcBV0UnT3+euvaspBMMphDW0mxyeyhp0Y5CXG68mjrc
mrExN5+p0d3GmXrLXiG3PIo+iyulpuTaMNMNQ90mrOzoiWSz52CTCFg+ngYTT4VRgiBusb0CSQnX
eumuesCEYjbyW8W2xk3lcjo49aJTdEV8vOavW9HXSwCCGs/FsX1dK6LzQCPjLq6SfsUAglVEKW9s
lo/CHj1qMdl8Czq4Kx05P1ZOLFo3g62Raugr874Vms8rLMb0lkFIyMgXcNHzaLana71yqmcr6NH2
NQW9fFXoFGm1c5Nsf3kU/2LH9psp1cRy6LoOZiX8tDi27N86MRI1GtWU1oVLXY2QVLJRf41mWaw5
p1RN/DvyfI08ssfi799/V1mfv7b/+/6Tv+vH+0/G4wRZNgByjJz2b9w+7KEML6oO4IjB5uf7z1S/
mfwSMhvC3H/emm3Zd9H//T8G0xAhMYYUXfZgS1/pP5DfjK9yrD/NPOxHCc3JEYqIP/5i3o+/rHvN
KCxwQM10t2QkyHb44Glpcev0lASZZy7ttRstjzxbK73usu1Iu6ISE+XPo2BloeQLLCKcs9N9w7O/
NsrmmpZ7fNsqRGPSovm0N6bWX3pgxzRehyGMHaAx4VlLBGQCcv+ebckiLm2ZVmmLPAMy/p3bPaYY
WflgBu4zXtUMQpTSbcyxe17KfDdyLfMNa7jiXmisa4zo/Lp6XAZacRE0T+ia9qp3sodC6fHuNOpH
XLWf46K/u0oVk5lII6/Rp9vcnSDGTOYzPaiPzYI3fKL9LoH16w2LuCzseT4qZnrDGUGxYYFlfcJz
wjPHfxi0nzzFJv8h+YlB8zWdqAABXll3A2QzjxoEi9L4rqZP3BKj1pYV0yB4xgYmkojo1u4an1lv
Nj0rVaecw8FAxa+wvO6b1ujEqxaDHljHE1lEjP90CkqEHG6kmpGFfs5OAuY4OphLv6BzOqAGbrfY
8PShIX8g8XSzBNVRg0gqZMma60Fi7EhE1CswLvyoyOmtWom7iyT4LpcIvLy2n8oFKB632RGDEaC8
sgQo0UmiEU6MfB1IoJ4t0Xp8Ns1VInF7CRpdJAF8QqL4wBnFp0Di+UbRt4coHJztJOF9Ba7e1q8l
0k+JcNJoaf+pS9wfnd0ImBIBqMECHDr++YAz1+tBggLpQWKzJOGB9El9CIkT7OsRDa/io8qIu89U
oIOllWRXrsHaUftCEirMEEIrzK0pgYXp0FpbN6o/cgkztORhWEvAoSNRh/zkcCZL/KFbUpGtzyAR
A9XkZyMxiYUEJhpf7ERwD9ykJVCxmgsyi7A0Vq1kNnau0hxHiWAMR2CMIqKbsJLU9aqzszX/eCbQ
AuuTIgJzZcJz1AhpbjlFYDyqEveYiApsFfSVNzUn/QHpjFWTBEQyQdmrujIHmP6SH5lIlGRS9EAl
JV6yYWW1GxdQ9uvoiz85SRSlGNjefGYkkXawrvXrEr6WDz20PXaU6zZHg0m+Uae7TNFCsB4ZTkJD
pLR71g+zIkJPXdAJSxwwLACJHg3tsxLWj1lZENlwBed0zgAy5AQKExUopzMnD1pRXiV1G7/MYnEA
dIXRxdy77sqsuhUs2eu46FyIuzjEy4JRRvQ2pszhhavPZgzdyJuE8jkmXUvQKX4mSHrIzOwJR62z
NVrF9rK8kS8RceJHse9TirB4ThV5hna5e4fv+KrWogNdCbLMvbwExf1dt8XjkCnw8Zvpqlsad+82
za5c2lv02/s6soO12rEHq/uG2Oscw7+M562how6QqEFYyIvjyMncuNFNqDbWyglJLfWZUR8tdaGb
MpFoUn0Xl9EhdYKza4wnZUIRn1ma8KQQqyS/CUEqzgr6wkX8lrhIAHbaJbvQGBC2TayHE/yrg23T
ZWraJYAUK38TrcU7S+2LtW3UV+Wo3CJcjNskTeNDWPQ8yiin63QeXb4l5vMZWZ31Be+koBzD61wT
7B55XK6/KJuLGkC5k1+0k/WHCaSbrdpW8U0Go8R39RYaFa2EW+yKWGMsViuVqc3rJYlwN0kUuBo4
83aiTWQdtLHhx9BG1mJJ6PRurE+ukZiuzGU/d8mZ0fyYG8mFBSp7bYyqvjVGI1sb2KM2qdnGmwgS
7TYLkLup+qX7wp4w1aF3xBGVF0Ec61vdmHjVJ3y3Uc5Tq4+sMbOC9isu2FRiVbylVFlzOAI5vraa
wZK5pBBUgWZvlQS5Jcnx2tYhPsgiZ7fOa6r/96rzR1TAxIT191ed2+i17f5C3ZW/6+dVBw6xxm3T
ZYtHh42UcH+MejpRTnnHYJVIZhOt9r9XnS9EMRkZSdD/SsP83DRyC9KZAG3p8VFNfvs/uupY8hb2
Z3nXZKaUJH4cZxI9gI7861WH5IxqVFmd4cJxAAGafYtIOT5gWceRUCvnKsLQ2uIphFMycXdnDT7z
qLkL6uMwuR9lL+2G4o74S+ahU+GWMUS1akPg8q6xc7N+Y3fBmqd+N478L+4YOqty3zC059aCVBND
7DDwZ7ZT/Ro5yWnu+g8nidajMNYdkJLVrFWQ2c3vbGbxvMJ3M9oSKGCc97ukanaNEMcW9zOi72ah
jpqNC5qPNVzY1L0543A56lGPwdyMqaDTXzPqDxnMnyJ1sDZOAEmmYtW4bVCiSM6hKplQiKyJNIAb
VMgpOK2NZJ1GyS0SccW2zBjXQzVdF4SlVy1opdGWehTf3JE8lO4t7gg7vNCKFQj2szCyd072ajvr
XNziEHcROKG7JishkZNTVIuRtF+bnFKTCTcOdbpKhiqjAsah8W4qZw4SF8wV7fVWh59+zO47q6Gq
tS58uAfXETaDVeGKgzYo5BKt7kRjCfCTfsvcdh1DAFr30uaMs3CrLi5nrLTd68U1Yft8ZbriOUm0
m5luc1oIS1Lh8AS92Tbuljx+pmmJnneQ87GbosvFFGxr4pjU6ieisb1DcTN9Pe7nNRc5oMmBcc1l
/TFK+P5DnCCrhfi4Z1fmrrcxPleFYa7ztv8ok3SvtHTVhDhm4pbxsNNsT435OurUUitEfVJZAJGY
85upwXBUwlmG59pvw5CrRl0giHYzUvfIG86DMyh8LU/NbV7257J0cRoH/Lu3mEi0qSY5Xz3D7Log
IXzRxCLeK6FGfMBmZWzqHN6ipVyZtSs6WldtA6O8LCJxUceWQ6sC0auwjS/VpHyGhBFv6kxqnnHj
TwAZ7ZFvdBwIFWvZsKs19UrXW6+y6LROteDYhP2+Lar7Xhm2ZVucorLcUOONwpjHrMHbAbiaPTYE
mCOggerwhHn5ox10T0mm7RjDyUoKYGeFXZ7Vmb/V7FyV9QjAQgy3bpptOvVQL5fdcAqUeDOrYh9O
xVmziit9CHY4vM9Kj79/mIetLtstZBC2L6PF1xc0C5sKBj6gcQC7hqGlxgZWFvyhRW5VHvaIHK95
b/u5OnyC7E6BeBmOtK7xqJK1nBK8vKX76SRTD2imBnSL6rLVCmsfadiil8DMG66MBvCuQkxbfP00
akxGAOEpGukXco1NQ4ognCK2LkGabPLBfO8trON9lL6XxvBUL/13OtSTddmyqA+N8QqoOHnV2B7A
F9ndmtfRAGunL/TmqIdZd+TdI8eUyuHsrmuS4gCHrCJPbLT5yrbucUYBL49wLWx7c654luqCe4Mz
ATp3v6DnbqGYbPAHnJc7E30IMLrB1vtSKfK5v/0DqD6KRjGO/dSXx9EqsuiJCUkfzmlX7cqQcG+V
zNm6NFNzE8cW/CpuRVoT3rQBTVtdOh1Ms+g3jdJMW1exjxYkB98iVib7hb7XDBWEW2zMW4n5lCpM
XBGQCUxyi30wSj7MtKxTFWpKfcgqX6rAfI2SRvc7NyEMvdSfaMIDGe0SWmcBnkVVuaU3HRvoOZ1O
M6gwGuKTTVopJ7NorpWgP+Zu+TLE4+eiGPR7UI/WaqSKwgpES2tMB6z5lgqNVjjVa5wi9gBEX3U6
lyaDnl2KOMZbVU8ug1ZcKMn8nEX656Kp/Cmh9ZkO+UOhxr6yHPR5AtdpEZcJm5uUoXGlIkBLOFx2
zCLnpKaZ6oupfB3DZc/IR7JDmWyvjheyj3p+aTsSE2wJylJgFSLs0PTlWIsfT/1pUeejsKbA46dQ
7ZyCqqiWNM0W+gfvdpYBjogdlmBY6PGI33Wpv1jho95A1XDNJPAjBTCNm4qRL970iIhiZywCfjnW
G/xjMdEYdyrP+VSNa4aZi8rF9UH6KIRl6JzjsTjBM0THwnwnSCi1eUt9RPdqi3FeMyXdziTBKLmQ
IDHBAWIl/X3QM/H1Y/FYZuUhUVK+x3556qlzwrNhm3wG2MRbqq54Tdl9tELc84LeqBX9rXnUrfTQ
2BlJec82TtL6Jg/L3L4ejavBrW6EVb7FHHQszNRLUyUAZPHcwUQOtsGiNaxemn0INJC37hiukFQA
F6TpXlizTJUVXuLq9ba14tGLzfacxj3cA2dT6N3DkGu7KmX1avY6H8DenNapisKLMar2BdC+LRNR
5Dm0qfg2OfVCUbStrUeQ1viBem2UnVWqz7C2d4e+wC5Z2+LgtNN9VpQqKTQOQV5ZcA+XcKuM2jHD
kuORdYU+z5N2hByJWwe7odJW9aorVIhEOpPwwN2ZsFAdgIQz9qYZX0V98qDA5doohYtlNQ54wVnj
bsl1HgnLvdKbYfFdDZKyXU7fqbt9NKwaU4nzfTENShXUTdUy8KchYfnK9ju8w0FePamluzPM5nZ0
9aORKISp5tRTs+ioN+NrmGfb3tE/RLocMPNes4thLd6pt4UpX+LUcfGuj7x/FcY/FEZUv7+/dt/E
w0fTxu9/sWSRcuGPm7dmfjMhugLb+s89+efFm/WLjXECIZENxx/8+x/WevObyjqGRQqWd7CucFt/
2bFwUaflCmFdZtr/mcXvqwj2V4nRMTD3o3xiqyC4gu/jz/fuSC8Ga+gN/dSUdV05Fwq2HOr4EAlb
oqrCTFIarXUj9RnKAcvHEiKuzTMv3bkDCOUiUZx7WaQ85pOyt6zCOPXcE/1Rb4sjy8T8FpL6eO4n
s7oo4q783oXdeNDzMb01tbE5mmUiCq+bnI9Aj3Fwm26w0ZLGIqded+VLpCKggaeGHtmM1coU2TbV
tdFfsoJKDlT9T8WIlxu9tWnuFbCoINkRTiUkjZhv11jXEp1XWJJ7bMnTqzzvgzsdie+GLGMW3aqJ
lYbtNnO0etljuMYz0LD1AgGoEdfV+YK0TveshtmVNZHPXF/Or+QMh+um0VxWzXC+8CQs9qBe2naV
rHMrrpN7JVmwOtZD6jigm+y6WY2NAUnTGub6Je173g8DVSQL4q/v4NxqqvngdhXQGrlpUodGWMdB
LqGCr31ULldTxLvZUim13FjNcWEYMDnaZD8TmRM+VUM3TEKDs9Pl4qtkA9YlGaqLHRjLyUrqbu/W
bjzcLAne7ZkX2WJ4ER/M8ZSTMC6UP/Yb/+5cZRrq798IMrO/+pAf47/YO/w6jMNyFgy6yPtfTz5v
i5/DuEbchgYLXLeyUkiwEv3xTrC/SScVeJEfu4WfrwT7G6O9xFjYGtkY2f/zj9YO0kr16zvBErpF
u49ryaUrR6/89V/WDkTdLQufvQIQLE+8jHIFed0qMhu0ktaVm5TSUAUQrsfG/hqzL82ecVOtxjp9
HOeu9HHtQOkDesmCLvFU2y5X+jgHfl27Iz3D7Rvvigdoni+VWp9mngb2eu5FlWfN2gSpGVTGPfmQ
ba7lmBA7iGw6ZnmrNr6zxPNQBFovMNRrASFoNboBzQVJ86hOzufEXLNJxoo+2uRedgatl3SBVKFg
W8hF/WT2Ve/HWgUjVBk3SVhVfl0q8ERTOrqUZjumhLBNrsirtocoy72fW3FQYhse2ZD4wWS+VNmg
zNdI6u6woXtnZCotJZEMQqFa4atiGvcFIwUrU7GpJNZskIAzXaLO6tlYDxJ+lkoKmsShCbSKXALS
ejV57yCmoWwLgNdA1IzuMhvu9bZ0YK2BWEOtB4QGdc2R+DUNDlsigWyTADQ4T4RT2nI42kHbHmq1
eKt1LuTwqriCr+GA4ny2c1O/rtOQOnWkPiKQAFNJ+KYOSxiKu1Xpin4qzPIBZbtk6zyVF5isZ09x
iLQ6WObCal9k5WWrtducMHQmnMNkBU8cbdh6UmPeE9/f0Hen7jX6CQh/tzO1npOO26bkhZzxwuH7
eXTDLj4MMbvfSjYP/j/2zmQ5jmNbtr/yfiBl2UR2b1h9FaoBCi0xSQNIMPs+I7uvvyugQx3ySqZr
mmsqEgKIqsrY4dt9uac6CIPByi+Bpz9Q14HZraIvD/IokfG4w7Uz1DFkKM3M1k1Gk8zaGLzTbE53
esuVV3da1eNHDUZT6fchDSZB3XBLb6xLHfobbTQBRjl3duLug2zepj20JJ0St74LHzovv4w+99LR
nLB490uR88pzykSJTRo8T57JYT+4JVRWHMS5NtMp0rS7UYYPVTEfmyG+b3L5Enf0n4xeQ7dzVC0d
0hkEkK3t2MPPhVVhbkaCyw6z5Q0vOf1KMvlI0LD7hp9Nm0J7jZRj78D/sgdCUp/tV8Bd+PaAinUy
O9EZcM3tutpPsPCOlibuYzm8F1qLiPHQSMNYYka6C6NkVaEXF9V8aBzjSfeTgcLBZNvGzS6eEnYG
7N7iNn3NZci47iJLd6SDrLqiaiYkaKTBKaun4c0PjHKt5xyxzozFEQs2dRImnuGy1ai9G1lW2O9W
pUN8CZL7OYwugyGe62Y4RrbxlNW6sdbNaVMXimKdaudA97dJXsChYssQ+cV7z60cCTo4+iEGThJv
N1nGX0PSGTrZcVLme+pej31X3PA35/WI1oXV0O7AzEAx2BjUn1Ojwm34GumMSAvNCb8kEBgL7jTM
6DqXyHaXxv2X1h9w0fVrwmDbxPJeOw+WgRSUXmKixpcIk9jaNWH1MrlqtaSc/oNwjp4pr55RQ84d
cbU1jfUSy2Y/tM0y0/oAOVHcWUm4d13rzmR3sJzm/mT31BGOdrENCrYZflNRMeZuEayeEzM9hnr7
6Bbkc7JEv3YRclWVnSIkeSq5ngln3zcxrwW1XF9FrtypzSnuTTIXudyHE1NXEve7zKwp2jWvvEkO
pUSMiJru0gYEz1z6sqXsX3KzBustsk3f6ngUhhuoVzcaEv+iHrS9mMROb8SmA5uez8Nu6DFp0uo2
Auzpsvmu61OMF3lNM29zM1a8ZT187nmbPcIVf02H+CJqe9814qMV1YGF4t6woqe+je9tr31g/s3Y
IQWb3o6IMXnvKXFxI5cznsZyH5jNEVjloZgV4NkYEKHSGy7Vr2Nm3dN9RFqc6cgoa32ZODqFLfGm
qKqLDeksdr3v/95WPm8r4m/9YPfdWxG3lKy3f55N1Ff+uK7gieDaQXkxzi8yvb8wH+Fp8UfcZOzP
KQON/sds4nFfwfWJVQtx2bEd/uiHJ8L9DWMX5iAVKsccwebhnwwn1q+5cSJJnu7p/Ah4z9SNSudH
/3k4gV5gpQ1034tE251PBBPt5GwIPTHXXZezNY7rnoRkZp/tqr6VKhis2K2NmT/0Bt5epopjbTZf
sqk8ZG1xjcG+dor/aiVUbwGEhb5N3hZELJvAcEVhwzHSh+c5KT78mP6psjdbjAlOeWeDmoUgjnAx
g9gFY7EyBYakrEtOoLBgvHpEIKy+MN5NOCKcB2HGQrX3jL3uWk18AILSke5j30xRNnkiMIWVxfIO
ZIZFA0Nf7V02etva9Q9OBqn1wQo6jsYgHxIcU34YiWOTxO2XZAhQ4XsrN+EsQgledjK5cVm0M7v5
dotc1NikZVqvoSy2cHvi9k2o19xVHLgV2TC+S0fttLPi2a1snorRsPXghG/hwr9VAU1c7lCPd4mX
DWiY5SkOdCzBADYWJFTX9Yy/NmJJUgbMK3rwpDXzvnO1a48aVfQDD55ihVf5OA72xef2svAqZ9lk
JnJ//FZp5U0mXW1RdvIk3YJ+da3aeZGL6Okb115qexxU6yKoz56iuFgNAZlhxxlwYOGxA9Z0DP3i
nJvjWZbNuz61Vz/KdmbiPCJQQ01xdwF1JQ7jyKLOqvusmgGgxdRP6tvBbq9Nh7g2DvvEEc+5C7HI
9958rz1kyYAXNbfMdeJ/LzgRReacofqv0Zu3opqXRtmegri9xRf7hZIilDOPenGDWSk6Y4O5eCS0
qIg6Fy3Jq9F8nkkj9SZ8Yo5CXksEWgToKDonuIJby6cKzIaU2B0SO9lWjv5q2smG/s1TZXXvYekl
a/XShy4LrgZXG4RHzxmp42o7/HP6WZpcTuvk3DgMeVTddrP2aEfWPsPJs8hkuQI8tW8JLnuxt/CD
+oMWYMS47JkN12OpRxxK2iao7CMosQ1dQqwaetT5yTgOAogPP8TSLwwQHsaR+q8De7xlE3XH0DXQ
ycabYYz2ZctxAYroo3HNa++P1wbj8iIIe/vOteFdOUN0dgJxmmwzvzQUluxznMuE88zSYoLs+X3Z
Y33RHZtKLt5SUplH+lZb1s5QMdv436ZwPGPGWYncOrpxeDfWnbMa8Qz1wKZWVl2/whjm7Wc5FISQ
R6j7aaNZwSuLhtNAGHnj5fIhZflnaZa7SEXX4j+cgTml1EZYuXCXWoRGTTNWsTYj40S9wFXQTbGk
Q4S1zMgr3if+bVJp25YalQqBcVdFqbbUWjfZ0C9x6hK5xSiztKGi6Kx+1rw7eLVMk1Fftrc17R3L
QrRQ+8DHRFN7k+Ucq0F6tGqM5Wz0cqc+V6Yq1avzr8C+eDFmbUUSmGEumPhldcyymbenuspawQ6z
aPOD9B3MI7l6wiKljh/VjOyEkaE65jF4o7SDAGWWL51L7px0er/U8vksDes0pvE3bAwJeCuTfj48
2aOKTBZJf3UK8wkm2kGzw52nyWyDRlCxGxtOto9htRc8ASBWVUu/KvCb1oFcsCqqN4mcjmXNXO9Y
8SVN68fekc4yisaH0IEwEGHCLFRsAS4N9AVjSVM5/p0mgc6QF0sSmz42C204Ys7KbkAepct/z/7f
lUp0gv9Ll2iKt+ZbXPyVNsFX/zj/kSsNSykM/n9O+f9qE+iVHL1YEQGBEArWUTR+nP82f4IAAe8Z
DurvU8OP89/6jXwzblfUCTUH/DNxwjDRRn4RJ8j5onFQjIwyoZuWrv78J3HCH22t8hk9z1rK+sVW
OppHrHfvKG2t/5TZurprWGhOGvIbIQekuGCo2+RxSlJyTJ9iXaF0u6KG3KpjREHPGz+lPfm7zhdC
80P1G7Oe8WJR/64IWvD5WX19SoWIkg26YfcpInqsn7h3EOnnze3q9EaFc/KQU/D+SKA2MZdZqk/3
kcHCFRx+Em2qit75EvP4DvQ6RYC2dJ8Ko8c3yEWtf6pIlRDOt6t5WoqCKCoPmLpYplbl3VppX9HQ
WCdfNLuyd8I3wNPRyhgQfzVCb0EJYXyCbeHJZR6w7Vl6sRMs/dIEbKjnSyxA8qRrbn52naK/5rjg
qe1ITbGM3aLfSS2w2b3X3quJP2omUuaXMzdV6YwL12MXDcAhc690G7JRn7s83tF6Mn/NTc1aRaGY
2mI56VyAzY307YTwp7BkWu693uq2dsMLQoP5qPVfurgxDHx/WChFYsio4JSNUFFRRPu5J/w2WHRE
7/wQi9x6qppw65IWv2ubPnml67S9893WpczKMbCkY3Z/yIfq7FttRaBG47d5W2hhT+Fzq4JaYVDK
eg8VW2IEi83kS4pr/2H0ibsgi0jAHwPrwWynW0Xn8iysgmRfo9yMh9yNxfDhDF744Vu+u5WqgT6L
o7ImH2hCLNIoacq1xqWCMW5fIs6x5lITluV62v1rbfoPBRVv/N8/uVbxR/hXDy2+8I+HlvOb7iFZ
2r/DhlQK9YegykMLP7bnW6w4vN9jrT8eWtZvXCeU1PpfrfXHQ8v8DXXWUl3gAoj8P1RU/yrIIizW
9aRasY6z8VRBl58eWjGfevaOnXUyPEZtTMU1a5CldOz0kMe8eYmY9rOLKVjolUn/UDHN95LBO6ST
82jJxH1LI9UaBgxFr18TNzOMW3KXkIySnlTYou0L/5KXHUs/S2bxvu4m8wGflWbvjVZvtIXva90l
D6zgkE6OTiEYNSjGfewSlbvhcZW1X/0idIZTY1WNfYcUu+2dIvsgMIYlu4glEqXwZLLV1f7A/1wl
dPXU7UVmokJSwpVSgamSOLNwidq5daTfmCqp09SAFpdFAYEoGv162dRNt5b6FN/Y3SSOQTBX6Bt+
4HNxxfECNyIgbOsK1CiiEPI2Mu03mP6vbhp+ZUinW134+RIjxUfV5R+OXxqAF/JafBu6eOnpxdKs
w2FfzLq96djjvg7kche9qUOjGFJpQA0aMKaiRT0bGtlzn3nw64ibY9dahbmnjj46aqmprDMNTcG1
HFkLVfVWKCoN+9qOYpYC362HJxhrJr4dCpt5cauVQ3yjHdpg5XX5jSf9cmkHjcu4a8/7VOBpjk0f
ddmPttxQ80WDx2phTV5CZIesilukq8rzPzwB1dPr511mIASx/dlOAf25WsucFAYN7lExvogIQnQ6
zP2C43ZbGj4dYN3Iva0ZzqnFKKgzcYGMtcdVY7v2OtEq8wL0Kb0nEWVdYdkXH4kuGuxbcfGc9IL6
2bj+VsDGvfl33vqct+y/fWp9wTDxZ5VFfc2PB5Zp8OzhMolTDWgz3of/PrBgsRGc48HEsKSIa7+o
LGxmYFSRqrcM3VYZ+B8PLA97p4WN0wL/zF/6Z8A1Zrr/NWXxP9AdHoBqq4T7/H/bMbtmSIrMTMZL
1QU0WsKZoAbpoTN5eCUKQTFjKod+ZGQX+gjy+1ahKmBhyZ2cA4OM3gjhSxEtamGdeSjqROVoypjc
5MNi/lp2CoUR1f27LwcwFgqTkSpghh+GlG3mIGJ8ehQfBFyNRgE2OkgbPQfvJQ+pox4UhsMI3WIr
2ZCvQ7qVV/QWPeYK25FlOPQSH3s/Ij4fMNAbID5GBftAUokvmQKAkHd81XRn2Pko+6iS8WOtcCGR
Aod0CiGiqU+5wa/gEhtspEe983f4ouxLOJiUOuU+QZeKxSvaJQG1gucCpsCXkgkEWz3t3oXMj7Ke
tqmvfRkomYfEwX6aHMTSjqqDLgWbl1BfU+NwSBsNNqtHK7hxKkt87HpXItfTN8HlLnq1e/E2OnzE
y6F8DlmxKRfKuopCFmVhfN+JNkNz0pyFVRiQdUIILnNf7zQn/6C0KCMa4xychitlNxfYiqgX3XRc
6zZRwPq6sOcvvNDwpZ3qvtSCs8imd2+Od5aKDonK+hZM7S3+w/6Ia63BxAVzph68M04aEofBfLZL
XtKuGlfIDrdpbr0j0SB2pF+1oKL6PcKAn40XmAEs9Cue1QZaOLhVc2/DPaJJkgASuaULhgeIDrnY
Oa1zLMfcW5euRYrJiL5U4XwnhMDwiUivjbO26AuUBd4fIzSsOvUu1qQn1jugJXvaux2BGDcKbzQA
0/mywfW2AhfdLth6fWhtuomlJ9j2TZvPcT6gUP2k99mhTwgFuDapBZMCPVatILaU6S1QgLdQod4m
mG+egr+1CgPXsCLlHktLiIARV5uVWDDMT+sYj94aT8NGV0g5FEp+yQozp00A50KFnhsUhE7nncpK
7ZopPF0fi/2ogHWoNPpDoSB2aA87Q2HtGgW4I7uWr8xggBcD/M6CgjdNpBsUFi+17YcGTp6pgHku
5DwXgp5QKD0ovc4iV3g9F86e5gHcc7uJdLuC8IGQAXINhqFXgL6gs49c7rnOK3ifDsWvyWR8MOD6
wUOgu7WMeZVA/mXWS2sEF20IN4NiAoohxp2tMIF+3mxbRQ4Mp2jl1dl7BFLQKys+6nxMqsod+cXm
r+TJD6M7VPtUc71VFhvGhbYdaxVILbqCqKCTReAtlF5w7muNEIvvrE1yKyQNEKQsVALWw+Md1gc6
pOoqPdTTTIQU3MZOrzux9tpSbKcw8Fc6hSf7qi5uwkh311MorQP24Bnus6FtBauGdVlXd45GH+Kc
TgdND18qLbduzQSMEE8/zMGx8JdAHw4a1I9wDIO1k1RfajcJv7dFvqITV4o7N0k+5mTGi1f4lML8
O/X/Z+rn6Pr7qf9QvtXyrwqqLL70j2NU/41x2sBCgIvq1wC7OmE9By+Oy9VM4KT4r1jBWckhbhJc
MHQTuBoSwo9jlEA85N7f/2f/NNRguZziv2gV7CpI9DgOZzlnM8fcr2M/Z2w+jmJqLpOGVYmWe2mg
eBaFl4CHjIpLLJwTviSEURRS7r824i2PtjnUr1YgrmmDS53MOg7VaJ/0/U2E3tpb8phi8NfQYTP0
WA9ddjbh4fQotVNlHXW6dBYWGi5LlE0QuscWbReo9h3UqUd3AoHNhOihAXvkB3Ex0d5d7FM04oj6
EMI81p74wVODikyxwR3dr2c5obGiMo+KcuajOzvezH2eR1kcPtrArTE4JuusGd59FOuAuFrXWK9W
yCUCRbsInE2Hwt2LGnB5dPbLcQMdiv6hCt06WVhlfWIX/uwKEkOGcfZRgrW0vCRGci5R1HsJZAaF
naTEFzYwt1EkT+EwLTkztwJFHlr5uTFJXfnf28ZXtYtI95GUhxktPxjwYaPtJ0mP2Z8hAs0/CmcC
SckqZxfgVM391E48cMf4ErItoHRyZbA9sNt8N7NNyL3uvWC7QAXAGXvYsWfrYM/ykDfTTtYwRtlK
uEl1Rq5az4G/t0JxddX6gjTrrlMLDZENp1StOIyJDW6QvlmluPrsQCKIBYjz7kWyHQnNfDWHPTUF
xbJle5L4495gmyJU2R/bFaegXLlm3xKQiSWEiACrlrWxWso4aj2T0a29KtnYuJ+rmxpnt1rmhGPF
9p7bSs6ep/jc+DSf25928gfubJ9bISx40b4rYV9exDzT6pcIp7C2fQNmzzdwwfQK6KbIbmUtMezj
703LrjoUToPxRJHgjEwJyvbc4/SnhTEbYdZwo6Sgy5qTq2mY2PY4+LEw7JKCyA6kXG/NP4lCLpNC
YkMR6ZLKBamgKHXShVcX9LQbtiDsYjHVKyzlAAAsJ93MinRXVljriQA+cpjRWejgYkkyyqk8HPVz
8n1QxDxfMx80EHrkf1YQoS4zyRwBYo8eyIHrE34P+HvQQE+E2p41DA/JqZEd0P1PYl/FNdYC4hcr
mF+ZPw2K7lephUugiH8s2oH6V+I9DDsw8YoLWLW1XLXCP5PuJQQzJt98CO2I5TJf9oosmJreR1j5
r8VkPtJY9cHPTzy11OmdUFxCq8KAEClWIWMIbOOUTo2+wuwM0JCO30sP4BC455MYp+/S1Q8JAERR
RvFm1OQ6Bo0Yz+baz7P6zJ2xJsvApdNUJMUSpGLBxMhMnrLziHprJQW49cEoXuiS5rdc59+00mNp
MQ7AE4mdb5J03Aca/Rk6Dgd/7sl2E/HJuvES6+67qnYYRc9AOOa8b10Hth5+ApfVW+ghN5i1ufEq
koO1ZW6D0nzpagKzPKaABoPyDUl3SSd+mUIQU74mvsZBjQsaDzgsyHdNNiuaDqblGOirugieLeh5
y4n5aDYlFEq66ABEmkvR4ZOfm+ohwj+00pNpWo8Or/sYBC8WuWMmhcDl/WVt4D/jgvYHPqJxOkG5
5WPZUKjEj2d9z3X4TH0QKhZVQ1w+pqAtr/dg9x1+tv4AQ+cy5kyH00xZRG7th0iHjtMTKtAP3eAx
m2iwPmKN1IKkhDqN9HuGpRu7iB6MydUXPTGVokmoVBeDtXJG7cgMamBUTR/piSFiieNplblVJu+j
KC02zdCG0VIrA0xCULBY7PTRXgBSJJUrFoXuaWSoCL2zkmGd0uY0j0sTrtmEbkNSyDXG7C4u+/jf
3cl/ZhFGg7+fRU5vwI3+fKFX3oQ/JhEI6jgSMKC5n0Zv/uiHAsmFHh4E6wpKxQQDyU9rE/c3ViPE
HdmK6DgbfrZ5Y5vQXQMdwGBAAb7+j2wTSl/8xdGpEpWYR7lUoXdSsPjrINLKQda5Mw0XvbxtQrGe
Enf10y8Ft9AUlsXPNXv8+376Dh5iBmsfBh2bf6HpI1L8+h1Ig6eWdKW8tCKhFYPgA42Xdyy/jQCe
P7bB9d9/P5zu/8d3VD/RT5qqyT0m5sIvL0mF28KbFE2OdkEzh15ZtndDU3qHvrMreOJ2sGidjZOA
Z6iDMbDXXd5RIBIWzuto+uaeYng+TuTXV0ZbWgvLi452CaHCM9Nl1ejfei397o/aSzHntyU16oBP
sX0kYcM6dyKib5kRBkTqJxZ5GIc7kTrchbJ4Y9uuBQgnLrfBNBZLcpDJwm2IlqNPNuBdYwQ5b1nJ
+Oox3dFtVy7cuD9qdcCrlOAHCTxl3upWYmJ36wx3ASh3/CHWriyN2z7CN+WBUNexhqZJeENl6UJa
2mMDO4BL8ms/W7ejG+16+Ndro2u3cQdyofIOUWyPi8gphw1NWC30/OlU0gB373bstbhyssi5L4nh
75yarBttzLvaibTubq4E/0HmDUGkLBTHDn8jTcgzi6iWhg8Ks2qMX97RQUlmaX7EybkfU1RlPzhr
enqeZucZaCvUBJYkFMsTvzPjr/T6fcsgR6wHW5zGShwC01r1aXXsKAyVctoT4LvV53qJC4T90XSE
zXuUXlOuujnXuVQPN22vP9eA+4XArZsX86OdET0P8ik9x7K4LdIOaDni6JwedHrFFyMWCzbj8Dnq
kWwOHCmiaiTm2sR9RDvHy8l9cGPmFaxFOXQE401gK3ASj9iGIOwRvclyjvfhIiLv2srGWBjo+4so
ajZGlR+CLL6VhXY/9MUmwoa3KFV2PvYx2HXf3Ajd2HCSOzMc1r7M5SIajRW9ByuRTHcd6chFC7PQ
GcR2aPqNjtjbOR7GJX1VluX9XIjbPKhrcnIYPrss7a/jFF2JZ+wbOI9e5b0Qgl6OuC4eKp08HcrG
9wJTM2mMLZBL1HrYlALsu5H2HzoNrwURy1oYaFOuvzeJKi4tK6YlbSBMG97SDn0SdgJ2PAetaK8z
t1jKMbhp23LX2Pj55g44lnamugGngrbnQXE3YfPFx8zEZ4lgA4z4STTt0uQTAkkEB3RhZ9MuHVAp
mgxULwMBqoZ2SNv5AQkN7HPWMUWV90kPvyShDkQGbBGkZ775MnlLXO9UUmi7GBOqETBmThA8BrC+
Qe/tPh8z/wYZlHb8N4deCdv67c8nnvqqn0489vk87gkK/KcY5I8Tj80a5DYCuj/YAH8YBegMIVaA
5O0apKL+l4TNXZ1Tkp5XADI6HsJ/YBTk2v6n8wFKE1ADj/YROkpU0ejP5wOmnqxK9US/mJaNYd32
8NwgeMuvTSLXvUhHMtmQ8LUAJn5i+E9B10eLQPHyeWy/YyW8dxVJnzzGCmMWbH0g+1LT9y3QfRz8
4bJRHH7chqtAwflTy3ilEZ32euw6N3ld7+ueQXWOL1an7XMI/0xoC0Mh/3kz1xRwEq50W29X0Asw
D9rKhTDUDU65LGkO4EYTLLN4uJpWx62XcgE6oLmMazxKKu1BUwUEVPRiaqOTIAycmyx5ySgrGELm
Xjxk11b1GNCbAu7fvslVw0ECwHpSnQd6JWiYpgVBpw5h5oDsC3njtcG3yh9uYtN5NVV/gsA/tQyL
gMI7wo6hiY5N2QJPPuOtmQACDBQxzG3zFFPMEGIjWyDj1Usnyx5Hyhuk2pdReLxTfcaT6ncw+DcE
FD7Ec/XWqgaIPkjjNXmRfBmZNVV/FEUEI3eMxssfJ1KsDC2v9HvRRUi5xOjV2+6zbYLtwAIP5caj
iKIO7Etq0kxhU1EhVVfFNPtPieNvJCUW0Ny3umq1aKm3oFUKHhSFFx7FF0NLA8ZAFUYc2XRiqHaM
2k+fatWXkabdi02BBkT6huIxKjWo1jANKzxGaXj2IxGtCuo3cHd1S4NCjjbgyGyp6DCp6tBVZwfB
Uh93oqzW2Cu+FaF7HwbTFmTTuM7L/EBt9ecx/UEk7mZ2CuaS7pn/titK7h+i99C+zRjBOuluQTJk
R3/MHxDFjZRYnss1CS1rBaEpWrmy/Z4b9S5xm63Tk3ntZBNu+IsnQ9brqmSDoKewN3utvTf6ZkvY
7YuYjK0f4nyoPBteBdmdriyxwhT5nUwifPtI5KKji3zGnDEpIQNfr7dM5+ZU+VkLxCVgezxZWzMs
b1IqnjOf0yyF8S3S4ZBEXbKMmuncsOfk4LrpZnz7mhe701cZls1zVHTKKuLTHelAG7qaFSSmkJKv
XLvTK7++Qq1h+WyMMZqRvqHvEFiYGXxPw/EjsH0dkhV4D712D24xPrVO896llNFWZXnnhv5Wi9I7
o6JGxoNJyHJrVY14Viy3B5uv06drd2fDygT/OIojXTQZa0x2ZTeKdRSIAXCsOy+TvmXBHOerDqHK
cia2L7QmjuOrF3hr3Z8eeaGpJUu0/RRrx6KOtngA9wWWP0cVyyTZyteCXZJPm9QDRDUywk1iPlhV
92zUDZbUiWr2fNz0uQcOMU7wMsJEBrlKLZ27HZiO8irnBXnqwA5Oo9wwuSx7ogCxBhIMA+9qyttV
FPsvFNfTINdEFAkCNYTbQOlp7nAnToudX+tnkBRfW6YIncDENLpIZMJXKsMJIv+eRGJFHxzIKUg+
vLY2cyXru7b5Kpv+kozeqk3Egx6HpO4noK5Uw+PNK9YipfNFB1CC4dHfgGm/t2XwUTusoTDx7TtM
OwhY/Y793LjUakZDK78N9Bn1kutqEtvKhAqRTMjT4BY3o8ZdHCcoaxTvC6u7BaPOjhjRopn0re9K
GL79s25W+0CMG2KW7jpNMp5/Y8Fa0imvlvS7ZTw3F6GHINWSnbr4V3F/Dpz5gY3doja7u8CUh6bu
wSozr4z+tJpnc+M4DU5QYw/toF+1ALR4Clsb3+5u9GLeeAUQaZ8qwrrS37OgNcENyFcLvW05oCnv
aZ67NZToE4Z3xuwdfW/ql/MMA8OZh4OOc5GQfrRMq5BQqBYrYdCWwMfGW5Z1mzSbbqm0/g7SCtZF
hczVrdvG06A14PQa8GpMXXXbud7jGMtomdsoeWNu+8BLzewlhQm4Cqv+e9JKal71p0wW+6Qrj5HP
REij3lXCzzQZ++xwYoI2qnM0jps6mR9Tw6T9s0+feAKv28K+a7SANibd/6I5zfNY4+XNI7A5MneX
+M2WnUGuHMElGtXqM7wRHXbSQEz7oPYpAAJ1TqwEBlb6BM9rSFcGyJmNNnfD0hu9dabHe4AzVCsN
+bway+ibQL5eTX05rtrGePPn+WI0tBkyLoSr0DRYSc3s3Kz6u0seBf9ZeupiKnYk16dVVMbPZWLe
lrl5ZcKlLaIUizFqv9oYAbm5HFxturQOjg2T51fjEpyh/PVxnLQnPP0PWYzjYiisVcXaifvicOlT
XCZi9hipWUFlMpF3DXyWtQ2CaCdUAMsJetbWuUHpye/OiK/j/w8/yr+4L5t/3rA7IM/UUpJlPpdy
zAE/jydY9AwxYSu7GPf54sXe9Lf1cl7kS//t4dqeaJZcl8tuFx/t7bCKduUmOuDFTU7R9t8B99Oh
IZgH/2bApRTt7f8ts7fmr6ZcvvSPKdf4DY6HgXkVZzN71l91HYY/ga3LxtVlqqTMD2eZWiMJx0LS
+R0tytj8Y8Pk0KxND7fvmFyEgC//o4YeYfyJm0Uchoylp4Zpvpv6IX5+G7lGaGRZY5cX04OnA21J
tRUoJVTRTcwxNPZDkG4y8plFXmBmRen/kpPdpDR34xH9wslydvFH0vd+mTW4eywcllnilsdMBUG5
Oz5NJEM9v4IO1LKa8bRu3U/pg9ME9OF1Mzq1CpWWiXs3hqDEF3yCK32deY5OsbZNV7Yx6mcq1Xri
ZqLfRkEEKt7m1l3oXUTfng/QrqkwBkwrwwtZopTEP3W7BNc05CvW+PD/GfGmCfqfA4BvFY0dO/Ne
f+wNbCnJtB7MrmVBIFJVLNQs7Mb+6vDvXFY5/9/aD/INuL1PcZv0TJF89akOWk9BSQFeTvlsNkV7
LtXBPqu4+rKyW5cFXX268qDbyo0eKF86TwJ2/VjVcW9BnVbudTSaC+U7sFRAFA4z2TpHPlDEDQ0K
67tD4XmlvPDkO49ipH4BOIgSpXHMF8o7PygXva+qfNJanqoKrlA6ldlm7jVqaOyDjQk/T/qrDxhQ
9eDa5JCNnasc+xPW/Z6NS1jM51l5+qVy98ukecnU81mWqrqsOpJ+4tmrMgFhiqdFpQRKlRdoVXKg
UhmCzHQ4OZy7VKULLJUzMOdwXavkwaCV+BowjrC4gbUPcJSQQqnnVMbFF3S3G0ulGHLiDHXPeyZQ
AYfY6Raeyjzo1BGvBTNRS6dzSyyirq2Ta0esBv2STIfKTqRGsYIBtG0S7TYdSVfM2CJ59bjaSM+5
mo55otK9XDdTPy6FymeYn0kNldnIVHojSXWX/BIt12GLoZeER58Up1AEr5PKfmSatw1b0iB2pz8J
4iGJVbsrI0uIypAc8YiQhNROG0RKZqIlNRGTRmVNcpU6CVpnH9YcFGxlj51sL3HZ1tpdWbrZ/DGN
Wbpz2Xz4afVE4IPbHPNNq3ZJhcQwkHT+lzLVr53dfPOqCdMjNOo53CA4kmQZDn6nbRrdvCmz6ByX
5WFM2nNRZrcYW1J2nWDTskAOeyewv8+OJpEaB0tsYxm4OESLfr43nfkU1kh3BnfEDcU/42KwHL6v
2LIt2g5K8KPkAfyoddvYX1olCObSfyyQoqiUvGnMBnWxs9llWFCW5lsGBhZurD4mW97xsGM90q1M
OuXoq4CQHaBIWm13JDLAfYw6b3B7Vxe/EQ1f93M14rZXsmakBE6z4UItctxZfmig8Ckh1EIRhbQd
7molkppKLi2VcKpJ3jlFxcawULJqjr7qobO6ovheorvmSoCFdP40Y4O1jVQxORFpbSXX6k3gLti8
vnu41o+UgZ7ikXqUSddvuWXxYXBr4wLjEsOZO671efiQGHcWuTNeAftWe6voX+mC3tRCf5li9+Rl
9cZv82iVIwnT8dwKyJrhc4FRnGUhIpU3sSUqV3rV3PpxdqMTd5+VTmfXwTmh4WEVO+muxEDDHGI/
emxj+c5gsHzxgJfP3EZ2CSe1NiqS78m4rjXzNPIxuHVL/4riuhszEROR74G2/g9759UbN5am4b/S
2HsKzOFiB9jKytmSfUOUpDJzzvz1+xyFbssqG91TArYWmJqLmbEkFnl4whfeEKsTNQ+VSZBpqJdY
9YxnBcAVVTocGeQJAb5M6wFFdNLtOWD8757zGOTWVVVrVxFjwjmgTFUvjSkP2hdJrS5kX+ItthGc
PdcqJ+3YgYdtw6Vf4CkdhDGl8xrLRS5n2xgzGAbq84Z35sNeBiMftMe6pKRzXuiwMtT+qk9hRyc5
yKgswCDLJt/oCxzoMWs+7MFluRKQePxRQGTDJ7C+wdUPDtmOkVqj4eURykt+ca0G7tLECQMogNnM
e7rBE8erHiOVJFqqtGVpWLAPiuLUq8iM6WJfN0Z/gjJNiJ9VsWzQbjKi/Aw78/gwV7pzr+6v5CGb
S642LKCQHGeFs5IUqbvxx6FZdI26iRw6spVlXWKZTdlFqBL8J556jqfg7fwmnvraPGwJpMTf/BBI
AXhFKZRy3Evc81eDDM0TzUQBCb8HpEaFj/BbIOXwE+CxIPT/ZCO/BVI20B9gsA4/ehZE+UeBFACg
d+VCGlfw9S0F7RUAcjTw6be9C6TiGiABU1c+r8PsHu1HdLQjTTpWpYagCYu7SwMApshMnbM+cqtF
xsyf1njHlJmB/mKKLB54MeOkLGkTg2ETUhLmsu2a69ju89NylGAW4hVV248K7QZKAB1Nc3aJ0ewO
HddeBBYhFqXwJT4yAEgdXAitTr/t0nKl45Z6U3gecI48f4SQwv6b35YKdm2QIQOMWYvHeEAjKav0
lIZRt+rzvsfkVpi+yNi/KKGuX0iaeeyanTOvnz1iOsmdScI3JsZAZsBIBkOmRzexuwUoWMgz8AoO
kU1ExyiTrthH4gunps+RCHeaWCupFyCbMHNB1+DQihRH6iKl3uvlvMTgpsLoxjcg7QrnG0iS94Gq
3dSZk88kzHHyyMAlZ/RuyzadB+D0GuQf2f2VFWnlE8jJdBL6/irCcieVw9PKVL8mWPGEo3OjgBLB
MoayYKnKN1h9qJORl1D72OIiXwz+v4YwIFx+Kux+7A4UB4rKQGcMtCJ1+cIW3kC+G1wGDm0FKens
7mgY5HJKN/27XILNNQVBNzhuh8w71MLqqjEp8PWG3II1SKqpZcaT0Iwl4Kwx4k2UkWlmUYJKHZWN
1YHVFa3sDAUPrITtc0fNh2VMI3HSmuEhnTSHzazcqAWmw6hxe5dSQ+tpDIxHB5G+s2JQv8c4F5mT
0sTmme0XPy+sQCBQYCXpRoY3q40kWqRxmh95gKR8QlzE3+xzojVEbE0H0cQh+44OqYbQQnbUlOpZ
nuV0bAjW4D3o5URpCHwVQ1qGfUtJVGm+mbn/JYqIEMsGV2fVTwGUERfj0qGCu8RzmprpFyugeu1m
D4nnLmGP6kd6Kl0qdv5d96kx+P2yoZU2TSOznMrAvw7NuDjMzeSor4257mnngxKdQwcTvARKXHIW
3smde2skaHXUEWwJX7Juy9ozuG31xM1VUMJ2g9lTkQhYhXyVDPWRDNy0iMKrIMBcs4m/dnL5gL1g
RicLTNFQtWd2GTUzojigx3J6atgMrqFLR0jV60tTFpkANpQzarIncqE82uqozap6uMs1tUHkK0dx
b0TRp0bBfOjbwwhJdorG8lkXdw8+Y43sd461rxkUmLvl91qanzoUUkw7W4S+Vk1s4Ea13C2sEoqH
FHcFbTjwtVGIl9gQFYBYYrQFBuNJmCx3BUrGiR2eFG6pToM8iaYA+5awSb7ZYXFMoftWicYvilRd
cn/ArTk6nc4BLMfpyw3PvLHtZg7lXpvy5AQ70Cu8pb4NtZOfezpZFly7/kiKBukwS8D1pLimtVFx
rTfSxs+jK9tMDXIkYn1qvG516FpcZSx9Y4Vd2rx0QTOFmhQfJol6GcpqOrE1HTFMpRonUmZheJYx
iQc7bgk1rHMKSlQAuyyekeBFk95DMUCVaZsY8iMqzeF/ztkXNIrx27oF6SPyYsPHzpz4sz+PWhgk
IF4VdMR0Cg3vbE20A5pyxot8ByWn13NWRx0cnTiLphwigMI5+K+ChXPAv8syehvQ6GRO73/SloN1
+vM5qxtg+7BVcfgvbkXAOn6AbSDb05tFUSUXqZLr+mmlNmS3QxPICTiKoVMd0K5tCyrVyh9JLL+N
2egvqRJf63CzJpr1MLRwyfLGW5Us5yIPUo5UIwbRZp3JtVIIHjzWizkoSTdDAoISqL9Qc8ri6Byd
SZIbCTBePUV44bwa6ifJBLRuON2TjhbF3M+qaeNQfs7s4LjXEfbQnPBUyouLUs6MWeZrI9gvs53h
1hBPrKEENyfOoqZ8aIN6MSYRjoSq/SD1ysLvagUYoLeyrPosJbmltyScWYruK27vt3E9xNMwUq41
o7736JouHZuMVdE089wLCGMp9qDuYETlXBm8tYUdxrIyaOfYNFsQ5D/PhKQnEqvXoDCKCY5Ul70q
HyWysdHrZKmhBlrpwbEu5EFLSZr2gBZKp+a3nVUil/cNeqJZT+s/FQqjlXnvhA9aR4KD+Char4+l
Wp2XY3BnIE4a6TYEBE1Gr9QwL+AdkCAiZZr4AbYXtQSmQMI5k6rENT4EZ2grno3PSqgyJhyDUEc1
Cjs5DJWqgNIhrNplwhGji48LYXNiSD5E7V45Dn3U3vFPMReFh0BS0cgA+vtbs5KO1I52HDZzR3YG
K0N2kvN8AJ7PpmoflnmqLtGRhTiH5mspKuY55k7LyPLLWSi0Yc3W7edGg14shQu0YWFPlF73xUVS
NkZa1pQbkFEpiGfJKZYlotq9qtoY5EWUr6lu9TUatXo3YtWFbC0OvfjEq5K7ZKG50w7hNcjyZ75Q
u+3r8iHECxk05AW92EMvpAtiquFSRyg3qfWVo/Qp7qHmbR0WNKC9LxXSuqbQ2I1GRGgMobvbCgVe
7J3v0xB5Lk/Nj1wrv5Ma1HrjqruVhH4vfwqJXGj6ai3ivpKK2ppqUkZTOP0rcBZBlp9SYD6PdFCl
9dAjFoxqcNO33bwXQsJWBztcCksbmbAAlTZhTVpz4EZa2a9rF/9fucrJYUv4nVoU3jXRzIqDW61G
XtOmIz1nrc10IW5s11a9TCtgsBjo5KteUd2phtzZkHfoO0vggkLMKUYUkyEY+vMhLZBLUZOzIOVM
wffRxFBMSC2jueyivRz1BdGxJl/r2pE0fI9kcZR62Etb1VwTAs6+b81tlOpA3H8H4U+Fy9K/l6P8
1UH+We7is3wYqJAgUQosxZ+bA8jhISmu/KZax5CCJsFwCIH9SG8c2gRUJ8lKqUBglYihyPBdrcpv
ntQcd1l9GefSad2GsIZSOG+IV2sOtShF6Fkj5KfiwkGA0Qi167Kuv8MfSYA+d+os7q11UJTfwDrI
VNvwGlCFbjYiAzgu49cxwfzapsxKYVVxiok5lNWkRXq7xnUKaJAazNiQjysJfW6vapqFP7ZHtdDu
VhHxNv1+TR+NFq7Q966LCjqY0Pyu9GJlJkB5aO5DBu2vawPnnj5M53HvdzNg2gjppEbJostYErZ5
GpdgD7LePctijZpN4/Y45nrXmCSdZ7lz7bj6SusHbKBQT6cHE1+5eX7meUqx8Go7vi+7Co/3DsAa
qlDk+WJhG+EdChE18kVdtGBbJTlQ/Yc+zejj6sECB+0jNvSrQc/QqqfWCtK3ucRDR50EhgE8X2ij
03SctpWmIyiW3eCbe+S7JBkQBKEytJeBQY6jojTuBkRcVlYiuuPF/G3bXhtmaK/guT1Q4YTshpn3
RE1VHw/XQiIdkr47Oo4IEGWDpe1Il/hzP5gaa7uILZtUypam4MbwAsTs+0zG/mVSZsU9wg1C1RtW
RTL08OxUjE98mB+zjD3byFN5EQZyvYjr7KFxaFHlTCQkmRZD7RFt88onHHfltNM01Ax7cGUOWM2p
2QbmIaVhVA50LOB9qtdaZiAkpbe3/hBddpyJ0zoElB0YqFXD4/XQnxuYbrYVzZpQKFjHRHS5NIJm
1zGskKjNwXeAqyR3uCtEkBhqHCXS4cnIjAvkLjc9tSIYxOG9ie8ASnugos0mPVE0ZGfQMSdelhF6
sNKVrCiHdZyXU31Qm3lky9k9eKv4sBqLW01l4WP8cieBqYdJ/dQV8cJxw1sOe/k4MIEgc/4fVoF3
Tmf7Bo25lSZB10KmrofuQGl60LuVa2iQniFeZC2Nd6Al7Uy1rMegz6RZUmbetMjycTFk9pXiJsXc
MHygz2OfzvMcGY02btxDuRzWpsRkqP1WXQA0uelTjBlsVzoKPG9dgnH1ABCAEsvhLdArTK38IotI
+zJH9uaSYjzmKDEuAPZ/1WXw6WFhXsiN+SXTzaWbC19hT/seyp3FHkszUVVLf273qb8wLYR1arMS
drwD0y8UxMZgwKR2VL6apCH0IoI5aEl43hK7tj/giRZaUGpMKVzLqXoKyhy4RuCGlMLz46DFOhU4
+3IY9YZUDZpoI0erkILWNLBB6ss1dbhCJb3NwjKe48ry5HsSqaftlQsaAfI0S9p2lsmA2yPE6gfJ
vANeoMBKRdEjKaQbuOG3WJSgjxw406yLT5pKoRLX2DUeEBkWVLp/XZsQMNDlOWwA6E8T2bnFJeDC
i5EfpfiLOlEu4QSGlPpUA/DUe1I8oyJ/KBE5CWETmc549ZB7yUUP0N9jtDhCwA2aMsRFTCU6iqVS
bn43ZQBMms0hkFAfjZwIQ0jqrmqsPrZDeexwkk8Gy3hEzniJkAmJi6ccuamG5/FIxtqb0Z2XkIkX
PWmTjb5QKCVgoB5k2zshMMAeSoc5qDThUS5ISnkT4rMYoEJYwJ+nvPnVQzsFPkx4o5S0oUAPX1kJ
OamKUqHudHc9MRc8qBG34jxL50WteVPK4lTQo4LH0SE82V2pz8HN4A6cXdj2IEBKRTxl3X03VQvY
DUiwOS4rC7lt7vOWpeuXymXspUL2STvVzKAWcpXlhG7BNWYGBtBLRSO87Nmny/SUMgo8ABNjYrt+
BEoCjCuo74oePm/SyLdjHBz1Q3yj6lIy6yq2VEtGDZsijE2DmyIEJKYsbk7yqlykMl6e6KLB3Mrl
jFkbbhzBIGpNCjN9uhmTEqYUvFcP3TZVTe8Rq5jVVnibt1SZK6I8K2Lr8wtmpu9g+pXRcpgVjbWU
+/K76RPSWVmPJg0xXxuidgUSDSG3QxdvK9gMa9eOHsK6Odf1Aq2LWpl5YF/g9nBSasVqKKyr3lfm
vYErqltk130Fn1p3MAKQZoUc4g6mIXeN5tSgoSCB2SDkmhPwx4dNkE9jqjIwH0JlmBaepUaXcTqa
9wMsKPuskIA5XMZGnbezQZShjVw6+k+t96XWSwX2173zm4a2+WZLCspfvaWgqK5QFJXJJVXSPUMj
C3wDhyqYZEK9tHFjEgLX6Ne/ZaGaeUBAJJJNQ35zonqr9hoHUBgATFAe1jXKtMo/yULBgP6UhfLF
DqKQ3IOiI8Ag/4S+QDdQLtIka87GmHYzIJtvEB59Af7DS72NZ0MZ32Hgg7hr5p4Gpd3NDKXDcC5t
L5IqO7QcVBEqQ0URuC1mGK4fY/ZwOlhjR10ouKaC+dQSJELiaTlWJLDJbqeeYoxH1CKb3jSp8vO0
l++6EbRlpd87BQ6Mtu/oC1fglxxpXMS6JEG19+FwQajCTQ5uUh5+oXH+LR+y29YntcrqKkdf2fxS
IvCe9uld7Uh3bjoc+6Z1Dob7tI38kzoLvlWZTdjrWBelZjzGQLTmCQ8GzBqBEVWlTKhkX5NBHpBj
0jDMqkkZi7hbIZZyO6h5OUezf6HrAL3VEC40rO8YEWv7qfAhfdmxeVLV8U1Hiju10TM2IvsqC5wn
GqoXdCbxssSqayJ7YT13u+7Mztt7KryPbp19dQv1HOjVI+UMYLFR6c2btLNWlZVcQJRbCTNTPfS+
xSq0vDy281lngoLs8uyxUxx8OlCiSAZQ/DmKerMB8dwFeNxyCpLjBB2Ao0J3T4gNZ2OQl8QS3UIu
uyPPcVaealwh2/s90MONlZQ3GmV3mIr3iTfCJLO4SV6SI1Pk7jogkqpMsqb2hXlpttWp7/TfEVbM
Zgh10hB35WlTgsSFR3ane8aVXiN1bgfRje6p3xvVbMEJij83iOMpgN4nwOyqDJAVpCBijyaA/F6H
S9OMv8IqiahVNGdI+MlQ0ayYclttTGRdmphjtJCtHE0BW14WtQ9qK8pBe+W8NTp83VSlwk2IrRGE
2AsTmfWlWxFaED0dUZZAyRQFwQlA2SsrBlOUIjfJUQb8yRWJLrAJue6BRY1VCBKKGWdYnTS1Rybx
UPEOEzX35l05XmceMkVNanPitgtXbq5HWzsKOnqzloqbYlW4ILliepBtEz3WWX9vU9BCqCZ/kJUM
38XMnZYdhcZODqCXlIgxS/5KTnGflixoC7KcLU2gf4qMoUMlS84KOdIB5r+9ScLihMy1hWgZ5nQZ
6kPTG4aZ2tBE4FC5zQoD6giNbWZjggJh/VA1DplyqYBcHGlyU3lSj/U0Smc9rHDvMFYdX5tFUXen
2lHZzkup8oMvDINbI2tiwc4wA0NbmG4ipzcW+U020+ucArFTxpU/JS+wLihKBebFUAT+hVb03tcA
2G8VM4UmQqXnLK+AzAILmdodeHMQXL7leNd+IZOOOEZ/KccSrrtFoM0hV2uYp2J3OuttVM0PG4zP
SR2C/lnYSIuTWTVogHtiQAhmXyDFpKn3USfLwSndAMGfjX1l1pvWo+whMo5E7VDiittRBYPnG+lG
MadqZHk3cm3F1VfVbT1OaI1SPwdtYrrfIiPw9VNZBYs7iZ2+yf9Tsn0t2UIt+N1xSaiVpNsOTP7u
zwPTER4OCkoFqgJeUeZHbwemKh/gFaGYlqVS1X13YNpYy9AzlRUVG1JNUTnG3g5MvGX4Bw5N2IMk
lADD/gGbwhRaRT/x+3RZpkurqI4O5E1oJvxYtlVag2mRJcn5aPhHGoI2eovXb89aGukQIftN3QpX
6lM9j8n7NbTGG2UZ5PW5j4QvCjMz2LeYFUpkN8pRV+XrqNG/uhVQsLQ+7UcFGV99NfpmycGSDVPf
8r5CobvEVSmam0myhi9iTmk1FRM3ZmaOrIPjZAAoEUccEnZS42Kl+cdNk9knKYhj2xdweRK9yQjx
oHSiBxPzI81V6FHib4CsyiR3wvtOaYXlnHluUythK4EbFkF4P8cq8MnMMvJuvOEge1sUqdpIOcSe
6qSurUPNTW4oRm1Adp9C+RYI4ZsOXCteBN4S7Z5j0xCNpNY8NzLrKK5xvnd841aTpBnKj98631xU
LRtpqZCDd459oTsllDIAd110FnbhIpcUl5gVmAZqb2gHlNIdEiv5JBvzmWyEJ36JKfeYD8caGrOH
8KnQao9Gis6mkyyk0PnWc4YabXOi4894lheXwNkWCVnpYCnnlgFDQuuvBgU4dAjRUAOMqymg8WLp
vtXdOyRAF2ZDNdDBxWDF3vMQDM1tjjD1LBlpqSp9eDa0DB3WGZdy71LGiczkS6EfmkNl11TkPQS1
C6s982REKKBaTFCb7qZD01772NXyv4MFpYJ4Vhfpl4bbcAtkAKKAnBYhpqUR0G4tbQVB2wF4Ge8h
DCV2ONmOZ9lg03YatKvAxvyuc5/0glMxMM0bPTOvJGQ/plJtnjgJAU5jWD4mltTJg9K/kqCYGGCk
IHdSquqL8MZ200cbb7jUTUCERE9hWn7xHCIwUzWoo/BQq9xVOnjgnJIIDnlTS1UXmg70JrAg6GRB
BHutmY3oQRljBOWhXUUqxrpp02O7hsskiuL5TDfh0nB432d4dDsQFIRXAvbGMfUzzCnhw/UKVLmq
7Gl6WmDOejJKxC3zU9Axt8UYUXhrKFDJZIxZAAcIqJMN3RJBp7jMjmXYhSd4T8IUqO4D0zqBpHuV
tlkwtQLE8iRlHJdJSkEsxZF84QykiACLvuVpcW23vHij82YDWtVy4z65raTMtNZAocK+ajp31WnA
bBTXPbSI+CYGk36CW+yiH0HCl3h4YwMXoVzUEYWFBXIQ0jiswYHiFl1JVKwY0UktlUd1K83kCPeO
AUqJInSPSQ6WKBYk8yG6Qh9dgYGB89u4pmG5rlvzxuvbmygGXdTbF/RFIfp5I4U1lXKIFkhfBpu2
Qx1bc3+sF/7Qmkdg54kERbwE+4ginjSsea/DkV4Z8yxHoAnBWG2mSvpG7avTWJZOkfUCf2AP6Vwe
xjW4wtWQ18Y0M0GlyVYghEgtazKU1KzUortOrC5DwKBWlq7qERVqVCW7Nk5nXcMM5N+/qzGh0mDE
LvLSFJTsWLqiibGpEqaEbiYBibp1m5fFWRUDYQPXsslz+dzCjaYKKS1icqLPCYAhJyjhAqOS8sRV
5GWPJhKwtNE+LlIeGj9UAJ91+lVP4mxBcRlD1sDGhKelvgGRe+Xig7PKlGFdmFCPHbZGylGLAtEE
pJj107H2zysMVgnxZHs2BNp1FyYdqKzsoqjkZVjqN/nIXpkp14pXqNNstIkOM2uNOBuOUj7C9Tp6
UIFsTgy5ucU4RJliVFXM45DWTGkwqaPK/dqa49eypuxe6d7Ki6UViLZGqLNEE71urnMbg6Ay4v1q
EkBh2lXTznIxOk3ooJQxWwUqH75zzka39Aof1KBe3SBs8SVS67uyQNMjjpo73RnllaJ2CgVz1T8m
eoXqY/vGFBMzQQQvUFhRtMOyCq9TU1uOOTo3bqR87SLK/k4cLozYCRGFhH2j5SaBnfqlNS+76mh0
7zuaZ752SRNmQtfrC1Wm20BLeDVpvcTP5UzNaRbmsVKt5NDcKGz0QJ2dC+q6LG26lSsJL3si3zGY
x1aAd5quz3BuP6nyGIF0dWX1MdsvmmHjoFwjzXLsZ8OIOW9zZ9W0COSiPirqM6GYXxswvD0YJ/DA
0a7PnGCpFiV83TK4U4ZxCQI8PKHToixGqTx1BktagL+NFlrdh5ORjiIYGMrQhpvMu9w7QihVmlam
7UNDzjz6D3gwqSucfzd2kPinXVoj/Ua5y7DuQpADyxIOBvDDYhzOFIrzU7/iPVuQuVeeXRNU4qfK
/nXkopx3rmglRrGjNK7cqtYPMSc5gy5l2+tGH4bl2INP93O7mHN4hAiJeovEUE7V3DhkNzoySbgj
W6e5WNM2kkpd+wIqih2iLei/VdKKKtSZrlfeKvXlDbJvG/CnDxw5IKL9fjXI1I5ti6KkzKNzj5Wm
ZLOoj1H4BFJkeP6STA4mjwvlDLnTe79P2uWg1OG8K/w5yAaMqmDkmK0kWHzmsSeMAh5q+UjR3Suc
JVeS1KkQk0muc5w+gyZRpliG3jL8nOJKvAHZedSChljkKPKUlbkM7aoCr2qlC9J9UqlSzqGiQYRS
iu4+rXvaXvG1oQ8zMzZu8agikwhpnowR8m3mogzABLNOaCH1C6XOMSPSH9lcL2qnS6cAg7DYMYsr
vKsWbHBYr+vCOVQBTOyD27bAU6VmDa8sTM4tgOaTyPVRinGiYV72NfMBRwp8/UYftBF2Qj16Mbmp
V8BO1fVY0ZyLuw610pDN2TbPCHLvyzI/6a3YotwszRWE0ozOBpoV0tdBEq9oj1m5K0uFXE/l4jYH
Hwv7HPV9haM2Uk4Ctz524+zOyJV7aAmcEal1V6n9aUb2g5qUQzdZQifLMbwvlCNSXIniwzE4KvXy
lL7MIu9UWh+BDbQs54yWzNsmb0/H3p/gVfUQ68ZREdGerLThBE/wZjWUA3XW3jxNFBuj5ISNUIKX
aAQ0yQx9FWXqSSePx02pacgIgGY3ESgIuyS50GCs4T1mS2gV4mzb+nh0IEQlQPsq3ewkHaZ5BUoG
UvGq0lW6znL4YHXEMHbfXFg56FWnbLOl51TVSVIgFFFoHSRdy2ZTcpdR7EpL59nIQ3029TCeDT7M
WjoyAzw/TD87dJ5tQOJnS5Dx2R7k/0v18pV9P1vX63lKh2i4bDblcLWpSKGrtyxF/PQio696k/17
v/T7C/2xef7mmyHf/Pd/rZ+SIMV5ri6Dx1pUMZ9/dvj03//1kuDJP9dDn2/s+a5/e514zdM1T3yD
RtFTUTUdfRR0EPhQ9Yyz1Hv9saQIuTpDB3cqBO9JJn8Yo1+Nwu8f8GU4f/87v735D4PwMwD4Hw8C
KCPLoL6rUnF9/kCLej8IOmQrXcMT9WXA/48H4ceJYFCt/inL/zvPzwP+NQesA5VXbAJ8kp8/vOl3
j09lnAqACghLeRmfvZwJYgL/GyPBG303FHg32ajTILEuPh9mgnqgUu5gJuzlGBg0wHceA/UAXWXb
oJ3xMh0o+byfDsYBrEPDUCzEofjs7cYAhO9d+evvLIz308Fh3TvkSwqNH/ERP323O6KuhRAAJmLU
pfZzd9x9PiBLKiS/ER/9+enlAzZN1dHw+BWfvZ0IHGo7TgQ6gFQ6mfOvOyA7zbuJwBZp2Qil2cre
TgRajTsOgn2A7DoclF/FCmIQ+CBD87Ly/o+PSRbrz7HCBxDzP94SdOY8Er3Amqhe/+KEcAinwCbt
7XL4uS3wjwdBs0VTAHVU0RMXnw/7Iq0BjJcILF+Cs/2bCfLLOn3RRfgzpv9HoTPekiJgxDzlZSZ8
CJ1V4TCJCJXysv/s3yC8vp3dBgEgBcrwICeeP0z6dxsjIpN4Q9soTe/tTCDG23ljtOAz4OnwMhFE
HPp+ENg0BK6DctzbIO1nsLB7AE0+KbRBUQX8eQxYDUBvLM1gs9jLpxcaFrtNBHE4QCLV9Y9Pj3sd
7FJEVV9TzH0dg5eXs8uOgJCIjKArFjGvq+GniaCIw8Mxof/s67b4GsPtMggOu56GoRax8fPnwwGp
whI2FKT893VbVHaPEowDrAdEaell1xP5wbttkXhRnKCIzbxswXt4QH7GcsDmAUifQDuIz5YogdQK
ApuztzNh9zzaPOAdUzfRqVY9fz7OBJOfUWTc15kg4KC7HQ6acaDa0HscdLjfooB3y0HgaVgplFpf
juH9Ww5CfGC3QeCE1MkfUf1+GQOBJ/owCEKGFTztvh6Ru8eL+gHCKqpmvy2Hn/cEjkj0u6i6cIKI
z75mkq/l8F0OSgvPGxMusPkaF/08FCwKJHQdRgKc1x4PxWuOt8tQmAfk1ITH1mux8efjkqEA6YaA
mxBT288Ievf8AXy+0G42UF15/nyYD8IBlbauJQ7SvRwEdec0QrOETB/zALzl26R/t0kSODkmBrC4
Jrwdp/s5FC8b1y6LAvipyCNQANg+FKpGiR7mJiI9ezofhLvWboempuO8KYs5/+vqM9Q6TafouN/z
Yeecglat7jzTY16f9EOZQT4wdNqZZBV7Oh/U3cNpwgOK7H+emR+6lOwP6ADYSFDt60mh7RxJskni
U4fsB8/5NunfbZLPfrUyoHVhh7Of2+PuNWjzAHcbUXx9LcR/CKeRMAPiDkB+X6tuAtG/4/ZIX8qi
2kSl4edkAmCHRRRN6W1fp8Du64DNwCG1Jnd+OSE/TAEgCyRUaP7u6xR4Lf/sFiaoEJgRrH6NnT8M
gkKpiS69vrdVFgSXd10HGl0Gmgy2+QssF+RXhFApNO1vQrl7AoGRC/YqDMMrmGnbTBBUXYSe3o6N
vTwcNG58x32RSrxBd46c8s9HfX9CEkzJOJore9ub03aPnUmVkBCjN/caO5MmvB8E+YBqE4Rr7eUg
2r+qm7Z7EdqG2g52g8rjy0z4MAgirBb/oVwvPvt6XAq+/o6LQkMAQMYF6rUn8bEpQUUKWAOV6H0N
G1+xZjsclwLwqgk65xvMkUd9vyhUWJqA/Kg37WngJGwXd5wJtGTB7qHV+9qj+/mk4LiEVCpzmuzp
GHzwSvt3gDzYJJnEj7/KHwCDKiQQ1KP2dBBet+0dVoP2/IxwS0UI9m4ZMAMUU7OZIq8n6L6Owe4t
CequVF11lULT8+fnxQAPAMdR/ESclwh7X08IffcIkpKjpqqg214jhp9nBUMBzRaUx97mEq8Vj13W
xHMJGsnxt5n/IWIgq1SxAkKYbk8XhVBw3fmEQKGHpPJXCD9RZ3NIJUx5X5sRr29nt5kgOpEAWX7V
oVMOqMEp5Nb7GkDrO6dStK0BNXMUaL8CvKoHnBOIEQvkF7Nu/7IIffflALYPNwQgbC9JwrbePT+k
UQHcU3z2dmfYvegm2lIKdABK7M8fUrR3kYOgzYHtEmZb+zofdq83IeWiY41rYCj2q0EAGg6QAW3u
/VwUxs71BXYGeFAmeI5f9OZoQwCDp8SivERWe7sodq8ygPLSkPwByvYyH3jUd4vi+bgUZ4Wxr4vi
9cZ2Oy6Rj0eLiDbl8+fnQQDFwRaqKGh6/P1F8TeOkz8JylM/iJ/mgikcbKptDOZf/cIbJ/fjz3/g
0TzzTd/9pqAqv3z5C9tG/P9/vWcuPx+HP/z07Xh8/qbXv399xI9f/u7L3p7r7R9XwaZcl49YeTxT
o19v9GydwG3+n5j/elr/zAISxfG3f9tOs/4zavz91ZHw37xd6AdONlvKX4/6kcP99y6erJ+y8u1C
P1yc2bTzxSfYgm+7cTaAna89XcfrlldSvV3rh3tnvu9+fTTLqg+vlHCD6OYTLp7WJe6bWVVv+wrC
252/YraJ/zjLyq3jT1Sy8/Xn8R+zrGTyvF3rh/Enhdv5+otyU6XbLs4Jv/PFl/EmTd+u88ONf8Zy
XTXJQxY/1R8vL2gfO9/6YZJvymAdv13qr7sXhOzdL4/i+9tlfrj0Z6zY4025ZcwFembnuz4OUm/L
RqB8xlo9WUdb9jDB3Nj5tk/WVbXZNiafsUBPsuqP/0m9TbzZNjKfsURP109swG/j8MNs+YwlerrG
6GfLtT9jiYprI0215dYFpHLn13q6SZ+yx2Db7iW0TT7h+uXj5untQn+NuwBJ737xjHt/u84P1/6M
ZXqabR2Tz1ilXLrelJthy51/xko9W+fbZstnrNOzTbv+GDsaGKK/PcsOseN5uWYLeLvQD6/zM5bo
Rbx+3GyJHQWrZOd5eIGa1rbgTjTqd774VUDoWAVPW0ZGNH53vv71+rEkJUjrLWepaLJ/whekf0w2
6EZv+4LPWKrXa/EFZboun7ZuZKIr+ilPMQs23raH+IxVKx5iwQp4DKrHbd/xGctXfMdRti6abaeV
9hlrWHzDSRNUf5w/BFW+7Tk+YzGLbzld15tt1/+M9cz16/Ufk3X5sN4WMwjs+mfMJ75jijnDls1a
NCg+6xvKZny72F97qv4pC9tfb80JRWdh97unhrF1aD5lMQdVhClf83afPwzMp6zlLF5vix4Eomz3
gSEwSbbNmU9Zv/U6Dap43VRvd/rD0HzK0hVlli3nsOhQ7zw0Nxt/vW1oREF794v/1szzN/qEf6u2
9Vublt0v/ltR+10v/4WxbbatVdFs3nncv2bxln1eAOR3v/SvfdB/PybbyrJ/tjc/Fmvf1B23/dn7
WrT4jcd4sy7/9b8AAAD//w==</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85000"/>
              </a:schemeClr>
            </a:solidFill>
            <a:ln>
              <a:noFill/>
            </a:ln>
          </cx:spPr>
        </cx:plotSurface>
        <cx:series layoutId="regionMap" uniqueId="{CA2FD8D4-EFF6-46DA-80D4-503773AAC05F}">
          <cx:tx>
            <cx:txData>
              <cx:f>_xlchart.v5.6</cx:f>
              <cx:v>Amt</cx:v>
            </cx:txData>
          </cx:tx>
          <cx:spPr>
            <a:ln>
              <a:solidFill>
                <a:schemeClr val="accent1">
                  <a:shade val="15000"/>
                </a:schemeClr>
              </a:solidFill>
            </a:ln>
          </cx:spPr>
          <cx:dataId val="0"/>
          <cx:layoutPr>
            <cx:geography cultureLanguage="en-US" cultureRegion="US" attribution="Powered by Bing">
              <cx:geoCache provider="{E9337A44-BEBE-4D9F-B70C-5C5E7DAFC167}">
                <cx:binary>5H1Zk9s4su5fcfj5spoASCwT0xPRJCXVvnt9YchVMgkuAPft159Ule0pUSoP60QrToyuuiembSmh
FD9kInf886H7x0OyWhbvujRR5T8euj/fh1WV/eOPP8qHcJUuy6NUPhS61N+rowed/qG/f5cPqz8e
i2UrVfAHNpH1x0O4LKpV9/5f/4TVgpU+1w/LSmp1U6+K/nZV1klV/ua9nW+9Wz6mUnmyrAr5UKE/
37vLRH7XhZLL95vv4T/f/5Us09Xj8p2ra1X179+tVCWr/r7PVn++31gHv3/3x/jrtlh7lwD3Vf0I
xIQdcdPimFMinl7s/btEq+DH2wbC+AgzbDEKKz9/6yWw8iaOnvhZPj4Wq7KEX/b0/9sLbPwMeBp/
/een8LB+GmsAAsDiz/cflKxWj+/uqmW1Kt+/k6V+elxF7+r1T/1w9/Rs/tiE8F//HP0FPK3R37xA
efxo/9Nbm0D+R5AzqVZ7wJgfUUFsimzrGWM+whiJIwYv22bWGOSpHL2G8Qb9JIg3KA4MYW+VvLvU
oEr+fpAtdMRsizGM+CuCbB1h0yIgyCNJfhNTu3HeXmIC1NtEB4b2F53ovx9oAtLMmCUs0x6JMYYt
wCyGEEWbYjyVkd3gblBPwHXj8wcG6d1SvZsXS/Ugywf98yH/Pccw46bJOP8hvWKMLT6ywBSxOYF3
Xp7DGxxN2W27Qd69zAS0dxMeGOwXy0JmutyP/WVxCzObY/PpBaK7YX/B2SyoxThm5rNe34T/LZzt
Rn5rhQmgb9EcGN5/pctHXUyRpjda2/yIgCltYg6G1gbM2ATdjbEgpvi5DV5K+XSGdoM8op8A8Yji
wAC+X4XLdA/ibJlHiFFq2hg9S+sOPY6JhSyKnuV9dFJP52s3ziP6CTiPKA4M5/XpdAHu4D7sMHYE
mpsx8KxeMbjBc8YcgaU2AvlNTO3GeXuJCVBvEx0Y2k5d7cO1IuLIRiC15mv+Mxjetg0ijfAI6ckM
7UZ5k3wCwpsEB4bunVZ6HzobHCqLCCoYmFhPLzI+m/ERQza1QNw3ja/pHO3Gd0Q/AeARxYEhfLF8
XBV7OJUJBRsaExvM7GeEx0Y2WF8mJYAvGnlX0znajfCIfgLCI4oDQ9jVSb0XN0pAcEtgAjHOZ4Qh
xrVpX+Mj0+SECguiJi8t6+kc7UZ4RD8B4RHFoSG8TJYNSHG5F+8JgRwjzH4o6i2QzSPK19vAoiOQ
38LUKzhvLTEF6i2iQ0NbQwJmrbHLah96mx+Z63A2IezZxB4nLiA5hUBt2wzBO5tS/Ta+XsF816+b
AvsuugNDfpa883QBYZK9yDnDgtr4R0pSbDnRECwRAgHw9Enbj6zuN7G2G/ntJSbAvk10YJhfJzXk
y/cAOMQ4CWUA+I+oyVYS2jwSFhc2+Nqbcj6do904j+gngDyiODCEL8DH2gO+/AhDcpnTn8mNMb4Q
5IZQCRcQ497Edyo/u9HdoJ6A7cbnDwzZOVRf7AVbesQIoraNXol4rosLuA3/oJHsTudoN7oj+gn4
jigODOFFslJqD8IL0S9s2khgMKrHPhUSHDFwrDeldjInu4HdJJ+A6ybBgcF6J1fFXoIigCs1CZR+
Wc8u81bYyzyCN03Q2s8+9cjKms7XbpRH9BNgHlEcGs7LhwIq61S1nwPYZlADZoF3/PQaH8AQwYY8
BfwDUe71a4z1m3h7Be/tNaZgvk11YLjfSgiXlPJxDzVhhBwJbtqEPLtJT7BuaHDEjggEUzBiI7vr
TUztxnt7iQlwbxMdGNrHdfpNJ4/V339OQ+oZLGxkWdvntHUEJWHEBG3+LP2bp/VbWNoN9dYKE5De
ojkwoE/SbFXIZfL3A00gHSUwty2Cdh/cyIaT3QaLHCpNdijzt3C2G++tFSbgvUVzYHjfrXPP+ygZ
EhDixBii3j/8q60YKDqi2Aa5F6Og93SOdqM8op+A8YjiwBA+Uf0+TDMKDRgYPCwo6f2pnTfPaH4E
yFMKpaGbensqP7vR3aCegO3G5w8M2XVhjLOC7pE94WuDfEL6eTe+a9PbxCac3GP5fRNXu1He8csm
YL2D6sAQP1sV+wiV2GBOP9UJ/TC4x3UGEAtbJ7RAoYMD9jJfNZWf3ShvUE/Ad+PzB4bs5TLbTyYS
Q4GQBafwbptr3SbH1z0ZfBQLm8rPbmQ3qCcgu/H5A0P2YlU8QHufu4cWSGJSQX+lJ7YsLBMqPZFg
iO0MjkznazfGI/oJKI8oDgznM2i73UeSkR6B2gUZtl45iEE5U3gPRHysnKcytBvfzd8zAd5NggND
93wZ7yPSBQcr+MOQPyTP+nmrNAgfCWQjytnIyprKz25sN6gnQLvx+QND9iMYNPVeMhXQuQp5CGK+
Vga0Th8LiIZQc+QivYGl3fiOF5gA8ZjkwFA+X5blag+2M4QvLWhQ5+JHH5y5Ix1F4W2L05F6ns7R
boxH9BMgHlEcGMIX+lE//P1mFjSoW8KEGh5Enx3hrXSyeWRbGHosEED/0jmazNBufDfJJ8C7SXBg
6J7r8t1fKlglq33YWNYRtL5hwn/aWGNTGkElkEWgBxKO6h2h6TcytxvvXYtMQH0X2YFhD/VNEKNe
9X+/cEOHBWUwloCYr/XQQJQaWmgoGc+ReQtPu/HeWmEC2Fs0h4Y0NKzv4ZCGaUGCWTa00fwozR3L
N4RBbILgiBYjS2zdMT6JoVcw3iCfAvAGwaGhu1JwRMu9lPNBummdiGDsR6BrHMLEBDptGCVEjMyw
i7cw9QrKW0tMQXqL6MDQvlw1y72M/gKviWIGftWPnqktixtBtBoaprYyi9M52o3ziH4CyCOK/wKE
f8/ixk9ejwX766fJu2OYzNtHuoEVTalAz6Mk1sVcmxlFCHQh6HZF0O749Pr53c+T3V7OoXs2w3fx
tBvZl7Qbv/H5J/7+ofzXDWyDPBm0PTnL4ttyT3EPmPmzPkxfL62mgsM4Cehr3AHkm9nbjenuZXag
u/FXMLRwN+Hh7YF3p3qZ19PMmzfOiwF7C6wtC8M+eHrtUNFYQEhbiN01upBCfgNzr+K/tcgG1LuH
NQL6W2QHhv0VTAIL9hHNJlDhBe1tnL42sBGmdtowKoiOC3Wnc7Qb6xH9BJhHFAeG8F243EtnK0Q7
YdgmJZy81sqMjwhHJufras6XwbDpHO1GeEQ/AeERxYEhfJ0sH/ZSt8ePoJ9tLcU/rLAdqhtqviBr
gZ/P7lEF9nS+duM8op+A84jiwHBeH0fntSzfXX2TZbaPQi8bslSYgsMEgxzXr7HZDUNGYDKYCVOC
RlD/L1jbjflrC00A/zXSA9wFDtR+LYvH/YRPoNQeMpWIkx956LHUQ8cFhjIh0Awjtf5U7PcWxl7f
Ajt+4MQdsIPyADeAJ1fBPhTA05goZkNt/tjhZtCAAcc5/1kDuo39ZJ5eh31ziYmIbxIdHtjrsSTJ
frxz6J2CRBYUnPzoqhmjDoW9ULONIH42anwGXfsWtl5FfGuRaZhvkR0a6tVSyTJZ1vtIcDKoETOh
45m+VmcEMVNzneJkowQI3ErwBq5ewXx7jSmQb1MdGuLPAlXUw14ym5DyQpb5s2xhS8xhshjMrjDB
G99S62tRm8jVK4hv/7IpiG9THRrisoxlr+u/H+/1PQoE5qzjnxeigKG2ET2HFCcF+bdhYOAI7zfw
9Ara4xWmYD2mOTSkdbLcS6JzPZMGvPN1zcJudw3k2hIw+2CrL2cyR6+gvEk/BeNNigND+B4qA+Ay
oz2IMnREQ8k3BNB/pEcgYz0W5XXLBqRPwFd/GWR7A0u7MR4vMAHkMcmhoVzD6M90L9cbQZKEg1MN
WZBXJNmEWCpGiOORxr5/A0+v4DxeYQrQY5qDQxocrn1kRaCBg5jrufmv4PxUBr52uewtnKdy9BrK
G/STMN6gODCEv9Tf9tFjty49QjC2AMbAPb22ejhgzDr0b3DIm2yq66n87EZ3g3oCthuf/79A9vXr
6X7d9Octq+Xs6Y7AFzfU/f7dp4cDdxuOSH+ciztKQH41Op48/vkeqsWIDYVEL2pV1gttnqpPl278
hG6TagV5tj/fw3WDCG5Iwev6FQKFD2jd896ufrxFYEg33J0Cl+GYGNpsYRi7grvUwj/fr3sHbPDB
OKRMYcwRVCC+f1fqev0WzO5n4L/BjhLQ/EUswn9d4nitkz7Q6tdT+fHnd6pOr7VUVfnnexih8f5d
9vy5Nb/wC6GwBpq54bsgzEcpg4eQPSxv1x1i8BD+n0qgnCoBNq4aEcalFxHyIbDN40gp47ROghmq
rMG1jaZ3/KY+6doeOTrFdIYacVrZMXUzQtA8iPp7buh8UUdp4igkE0fTdBbV2UOAO4Scoao7f0Gp
rg2PGPXHkg/WbZ9G7YIW1D8PrZ6eRB3zaI6Jm7GmuLCxVTt2gMN5x9C3yi+/m35dHWetuixwhKRL
dRnPZFff9qi7YU1Eb/IsTdwgbrlnJqp2Ck5TJxGqcIJaZE4vMuGkwBXv4nkU1MYxipg/i1LJHF7L
R6RwV3tl40unUlFzTEs/cIJs8J2KxIET+wpd+TjSTlcr+LtQqGOGEuRk8PWDTJRTMBPBt8jCGYjg
TkF47gnSXiTMv4p0eNopfFwVaQ7L42WVkPyMBn7m6KqxncaPbrVdujHVZ41hWk5BSeTKNO8XQ4ik
U9TFjNd56BYh9WcmNz5kQ3kniuI4C01+YufDddHGvQeFNZ9Izh50oS9zZDOnQOEp4va1Xfn3QaMi
p20Lr4nF9yKzTsxaXNhlW3q4NKiLlMUWWaI/R21ySpX80kVV6fbC+N4FPHTrSsxl0ny1lVhliuUn
yAqlG6mKO4rCY2kSkjkkDMJzKVvmxHkpv2Klr3kffYxNljptqrWTKLubGVy0s1SrwRnK8hNtyi+c
dq62sJ7FgaydPpChmyX5R01EPE/NxHY6TgOvNLt7DdAnCW6IKxuzmqkBNS5NDO0GVn2dlUnqmKyN
ZsVQP1hZ9bkJ48c0UNbcJ+gx8+NoHnZhdap87PgGJ/NAsWZOO+K7Q14G8PW4W9SmKR3Tt9LCkSi3
vcwiJ0YtxCLgaeQSrkEQNP/eR9Sz4vIbydrQEX7LZigqY6+m5fdWZRS47VMXZD9zMxUnczkwh4a+
cFghhJtLkBG/04nT6HDwfJS7JKmI0/bNImio8ELeXZHGP8a2ug47dUVjfmIYcl7jkzT1/PZCwJql
Vd1leVu5tGfXcUo/MZFexSpPnJZEvedH3SJGyDVzCcM0q88sCU1Pd1Xh6CgTs5KJwtWiEk4VqbmO
swuM60VppB/KoD6J8+C8SrP0GOHSlbi/xklzbNVt7LBWwG7vuqs0wcMpN5MvYSkvbZoph5otO4ly
do5FeimrbJEYpHJ42WNXx/HgUFpJLwgRd40AyZM6kue4lucozb4kqMsd3pa1Q5H/wWL2p7oor3Aa
W4sw1sLrIkRdO7Rsr4ArZZ0wYLFj1NUisFLlCDp0rtGnty31Pw0+8JdndekMkoDqAbogTTonqBIv
i+ITfyhWuSLWDA9J5uQCH5uBHtywp7Ej4LG6TRV+wj65qVoSOETW/ayJSsuLm4Iex7n5HY78M0vK
cxmGzOmSlMC2zj0zlV8GSu59H3AvfM3cvEoMJ47Qrc3FF+RHqRMQdYONrnXQwL9TUS+qweidXHF/
hsvmpgjrha/wfROWF2ZjBA7L+KkswtzxWXqT5MrrmDROwzb5IO1KeWbVndKez5og6Z2qw7Yb5Uni
UtXGs8TqtDeY4cWgWsOxfd15RpF8Dwb/Ps8C4vQIx/DjwmzRhdFjkdlXgUbKMXk7eBZc7eUqiByf
tYExHFc8m7OWBc6QDzc9Ie3MaKrMjUVw1xE5q7FxLPzsTIi0mVtZcQrTU0M4BcLAzfO0X5CW1m5C
tT330/5zWpjzKjCXednJRYfD2uVtc0nr9AO2m/OBaSDFcmY11ryIglmj+ZnMiuOo9KvjATaR2w5U
OrZlLnqGHgaUXdgB6OxOkBmNwlmOilUVyYuqy5dDF8yYBOks+9qF0oUvmivPj3nsdK0/82PzmFWg
TYNqbjWwCUzQRwROCiYT7tmxStyuZ/dZLS8Gy17FFShKSaieNQk7BuHunGqQF4i0hdOV4qoQQ7DA
VvsxgX3r8MSKQFCK0G2w4YCg3RR20ziUDXph9sESzs5ipmVYO0bY65kJM++uODf4woCx0ouiLD7L
GN3Zqk5cPYgPiFVfojj0nQL0glNWsDUSliHQIGg+YP6N+LxbFKKYA3/fiijXjuL6sfSHxBERajwV
kuFSxZHt+Vl+DWfeRWvBe20WnlVCWU7VFC7JDD0Taf3o0zgDLZo/klBdRZEoXd/wY7dq/AuU0dqx
gj6cCy0aL+gqy/GjOllLWe763L4MmQlSBpfiOobUc10Hx72dhzMGetLwQ6c11F2vh3AhjehrzLIH
u2UuCdN04fvxAuwIwMBv7pCdITdvcnY6GOwkq0I4ipUVuwmYRq5EQ+9SA5VXYrC8oE+/x2asXZ62
Vx3zE6c0gnOTyNQVVfadGyqYQWDsS6sNNDPy1IaV6DIObdvJAuOzmdf+TcHVBWjzUvgXVhMuQmnZ
hpvUIT8xq1jklzpJdEidQppB4EQyb4YZVJrn4fnLG5o37LMHnfWFDMIf92z/+uO/7nUK/z5d2fzv
v1xf0/3vPy1Wel3ZXI4/tLajf33q39c+r+3WX3dAj6zh57u+XzGVf/vmm+xoBLbtr2u8t+zop/kA
22b0muinGQ2usAWNOnD1GIILM0wBb/0yoyEaArekwHU3DDqyMOQmf1jR0MMFhitY0OtB3evp+0D0
04q2YbYg2ONwuzDM8V4Xj7/Fil7XOmwa0esbHSBlIiC2Cok0C9y5l0Y08knVxxmDzT8YpPiARZik
ylV9irwwNGqwL6MSy4uSx+RzpmmXL8w2uTEN4gqTJKlXyK6SbsVMnzo9p2V+kupi8HrWENup7TIi
s7L0T1uSgC6DS3qH+Ean8aesTW8pCr92La5cRshlT+EYspQtZwPrpBPk4TfNYN9iU2EPJoKETm8a
blfVC6Gi2E0xWIwtKe9C5H/OhAJloM1o6L0kTIPuY5zo0k1lPSwau4gz7YWwKnV13VfqwjJ6etyH
0bG0pD/HftLOzEpJx1dN9g1Hw9cALHK3oqnvokzNQde3rk6j4zwyjqXMK6cr1DeTFBFYCD7xBiv9
IAPjAV9kqr/QVux1MJnIFckQu37i36Oc36TanAkwj6LhBlX0Q9uA6ciDmaWKXFz8/yiIL0XKhiEh
v5PBl40Oz5HjJ//wieqXEEIx0LoV1oQrt204w2HBX0JowdAvKNkGk4BDo8b6hsCfviykHdBaAs11
dwbc5g0e8E8pXDfXwYJgA3MoHIU5Um+RQgTfMZJCuIQSJmJQyICAz72uUngphdVAdJbXdXepWiJm
TeuH4FyRiMVuzNrmhhp2fxp1jYpnphlXXyptNR9iqwSrsxQq//Ti6f3Q5C89623HGm65ffLRYciO
ta6j2+TGUn0Wi7BuLnGu0GUQD+A01kzT0O2aSgunaa36C2syA5y7lFe5m0cFuJn+UDLLhUpM9Siq
yryCNcLaw0mCPgy2wdGip7a/Qr2BuvnvOcagDsfPz4KmVwgEQI0+DFeF2MfL52dJFgK2fXVJOjsI
PNoNyYcGMkpkXrFeg4/adyjyJPO5MzDaS6ePTbJIm6JHXtHo6jHsyhK50shsr6ykbpwqDc0G/B07
DmaBjsLruBanaSnC0lsHOD6WYX4WJy14hBIc0AswdJt08ftftRXfgGAJNPFCsATODUqefvSL+Abr
jaA1sqS8VJUvPuqAI+xYMYatkam6u267QtxlPko+//5r13vtZVgF+sEh2MMI3N0EraWYrNl68bW2
2QVWVgbqUvEBXaI4rC9VWbiS++HH338TiM/WNwmYt8dgkAREGvlon2XK6oe8CPUlz0xrmbe6SBZ+
xXvsxFk4A+smGVxi9ly7EbHb9D9tmvWm2PyhsFFg3KMFd1TBTN7x10OISoaBSuUly2N7mUa1vYRz
A3iwh7Sc0QJc/t4E6BdtkrfYyWPNVlUiypNW9NZ5R0lhuqSNdOxGTKUfSJFhAr5v368yo8k80xhS
5tpCW8WxTehQO79/eus7G8b8w/mP1x1HEIiDmZWbQJm0tpVt+8YFqv10KYuqDBxkxBXYxKTvVXDa
hjL+FnCRnXdDHs6ptjrpYtSw7xUbBu324Ii6lo6alSwIe2zsLGSnv2fSsrdAhkAfbKJ12g+6WW02
MjBowaVZhBW5iKw88wX3KhEOi67qiJhXTV27RZebN03a27UTglPqFkgtSlyA/21l2I2TPL3NEjvt
HJa0wac2SvVJX1aVk9l59oGWMff8XPluraNIOrIiUQtmfaku28wor3JjILMgQCJyjMFXqYubMD22
aZXc4ii4DnpFOiepWX5Z+fl9hVODeLTB8CBlj0E3WPUwOGbLo/MktPkX36yt05BydD4EXSPc1gyt
FC6Z6+WJwYseAkU9HzzU2oY3RN1DVubVXW0aDJyHtGJzv8zrE8vH+D4PURsvfGZAgGwIY/8b1LYV
jSNVbnytU5aCG1Lik1ir7ATlInmUTUZB7kka30nhd8xpcis4LfyidsFHyRbIwuIqb9NuZrVFPkeo
Q80sgcu6ArdpA56DKxf6s7QkhVdn4ir0jcD0ENLVMRw1uHWVGVGHVyz53KVmeIYLkd3ZpLIXtYgM
PC9pOiw51cUM4ljRMG9iHsyNrjOXuEza72WQZbY74MqsHRXgJph3VaRBONp21gdNzeeF9kMPgkTp
sYKPQszDKjQ86LRhTlRGkeEyCEI5TNvd4FhV4rukMlS6KGg8g+BYb960BFmeLAszcSLYSdWcVK0o
F2Bqdec0HobEv6nbvEpTp5dJr4rH0A8xHr6UrdGxFIJcBahy/YAhcFuRwqmrus7Myyqu0rg7FTIH
S1HUlX+SFlJmToQTfWcyg5xEEDOo3Row8J0+N0UHcKWce8r34TyskrjNZzRuA9Mtkgr5V2FuUqaP
4561odd3iajOaVkR2FGtr1HZujWchXNqhJF/1YDoUAg08IzDhiNxmc5VIgvhJDkcXv6sayR1DR9a
Em2n901lwd1vfpq6oahbf94mLElnpQ9WwdxWQTq4fLBBYyocW7WbhoUBAbqyD8rrUhppOtOB5N+N
umHS9EyNq4W0eM0vbcMP/FNFWMXsyFVdmQ89hAhAu4WzLAhZOvPLZsjnoiiVnPcJTftjsyzTzLVx
n0iXdXafLAqZS8MFWPEnI0sH5EFQIE49+J9pXCWRaZTwyJX6FKWpSE9IIapkFocVvR3qipB5ZGiM
zsI2LJlyWIjDauEXTabu4DAmp1Ew4HheZ8DBTFdJMMw46gbh8qjP2ouU97C1DRCVAmKRqD4tiG0n
XuCToPaYagBOyUqwT9QQkWGVxHABrceBgdQjfRpCMNiU1nEgGWQEcBznxJNa+t5Q+7HtGG2RievI
byPLJTKPBifNosE4M/3EmqPMD2xgV7Bshvpw0CehRC1EYoUVts76cw4SUijYPgHJ3a6VxgChLml8
LWC+cW84EuQIX6JByUE6vLEMct8nLa4vaSZ67SmRVxd2reBICkoWA4FICTwtX4ZIfRlQosLTvIfw
4Lxs7UGeoSqo7q0I20u781Pf4Qg277xWHQMnjA4SmK9RlHoQv49LCF35M4lk/iVpW7AsoiBq7kqb
tt+yIiTHDWsDf8Zj28QQj/FhHTvRUTdXRYMuhy4j1k1Z2egeVQZ8oqVGyd0K9aybNTiN5HHRYdye
KBaU+EoaTHxUZr7enFGUlwuWlGF53fVWxSHA2wI2YauAMQ3BVnQGJ5j4SCA2m85S0JLF2v3r9EkF
IQ58HRV1HN9iroR10llRW0O0rFobn2HfXduxQbuZblP4aq2HoXE6nFbDwozZ+sevWW9BPwFfWYou
LRsCqTd1bsOjgjBtPLgibkB0siSI5Y0qGIh8UYNVEMB7oFNxpcKrHFl9oRwCuQuAuy26+iI1wqx0
pFnn3byDoSxk1jc5XisNECYXfhEokE6gtZ1cqfSjD3ftnfJGSu7w0I5hX/QBXbaKABtdEfW3pOrM
8iwAMzc60xB/j+44nBaLUpnoMhdB/gVmGNPcCSGHgU81D0R95oc6aLy+YHkLBm5PFhmGx+pCIKx/
iJPYvu7q0tTHudk38aeWpkF5nPpG+r0fxFqHyDwJPfADOJlBtDws5xlNxSfD9NN52mZB7jAL1Fxf
tOGt1FV5JtJ1OM7GBQ5A7dkWHEchFh+LyGiCWYIViMkArrE4sZRG+SoFhdyfwu1FIBvtWmPPItuA
J9o1QzODQ6bNz1BRY+r6IqkaOGlJY4LpnUdfC9GIe6MHM/10EFWBHqtS9aWTIsSaE9liWKpLUTi4
VhvQ4CQDWFrXiAWdD7ppqgsIgiZ3UVNCdJ6Vx1baNfbx0FIAJzZROUDKKNb6QtHOOjcq09KzMFdp
cxb0EF10uV2m4T1YIuWjKRSoEVCdZePEIaSdHNE2kCNTfp/fJUGO5GekB8IbZwALrP+QVcQQsFjp
F7OQGXFwavhZ+y0MTKOBQGBJ4xMpTHTTlYY/LIoaEk4zOdSwSSWuInLdxclgX6Y0SxLIBjQmvbBQ
aHVuD9ZNOWvDDFBruZKBUwwsBd1RlskMdaSDBFmCebEYeA67P7a6gHm935sQB81Kmn9q7R7dR2EB
ew1OOvER9npaXiuhEChYnIloztOQtpAo/IJ53XLkxHHDPthY5a3X2kFlXVh+wpvb3C9FAYc77OhZ
JgmgCY5D351LUsX6nBVZSK5xZyb0BDJFAn5X1xnBRVwYWeulpQ86A6yxurpIEh/4L0QczMuQx6HX
dqZ50ucWyH0PSV/pWH7I9hMjuZAPhS7192ocrXwZrPzXf19Ic+0evx7SXI8HynS5fBmCeS4pWNP9
CqiII/BNIfcPjdHQPbu+LPBXQAWimpD4h6tgLYiZsBdRTagOg1AKYjaHugIOI0D/HU+Bthzo1YKo
A8xQgBQNpW+JpxC0zv2/9O3gG9Y3KBG4mQOq0SDsuukbRYURYzbg8Co1B8u/CHFlf+2QCVFxu1Aq
uNZGa58OdU6/0hAs5mNhqDx22s5ov4BElR9FaOk7IaQ9gO9Zt3pOFKs+laRGPij2hM1oCHljSxof
O0wipwsGy00wjl3c0WvO1aIO0FXd0HvIbi3bYFiC+W2BENzSkoNFRc0FTlJ5hXuWOSimYOr5Xm0U
4FtEhUMhC+AGRVO6gdkv47xo3LwtWqfGQemUkOt2+oEnYG3xeaKazjEU445dg7oNigKiM/5xltJb
q7FvU0mRF4Nv1/vd5cCLwBMNWuYqv8sI/hryiDjaL9q5UlHtBHgYFlwKcGgaDUUKln0bUXbe8PIz
pDLnMVXJeVroszqMayf3MfeskiHHKoLCgWOCu9kQ3zbglOXWkF0QiKs4g7IQFDOoDgJFoLdbq2md
IikhYEw6iCapIDlXOoWQb/aZ0LxxS2RmXm0Wq6EserCjumTGy/o4KaOFKSCdG1dexlg07w3hWlbV
ORzjea2rwA0jeAa5j1o3aLh9LBX8l9V04I8I/VFBJp2J+IZbocez5AGCGvdUV6FTVZF17tv+icyM
G5lB8rmxWej6qfah8oKeB+tIrk6s25DSe6tIIyew2SPV6mzoyW3Wc9OJTZ54SjH2P+yd25KcuLa1
X+V/ATokDgIuF5DkObNOroNviLJdFgIhcQbx9Htgt1fbbnev6H3573XjCF9UUZmANOcY35iK6lEX
kebzUQka92QaI1errRTWHAEIWVAejdHQqMeCdTJhbBIpncWG1f29QtkVWxOIChARqdv442UIuI58
0wV91Lr7vmTVY1B5c9KWw+0yjizynPyilqGMGos4SWGGd60pPmTj5O1Y3oI/cUnqt8ETs4NnP+Ox
3dJXWXG4jeufQcY7ywRpky1XWQpUAHYaZjd4WPXFHYeTDMubxbD3goXoScqFpu0smsgNy35PanPs
GR476hUnbeskqFr84VbwhD7XirCdi5gWcxZbrUjLqbx4dXV1wvaI2UY3YxcAIhnR6nLfTS2nee9a
VpJ79rsKhX3EtH+oR3Y1YnKAZgxHK8xSPjY6qbLuISj8D8yazy0b3uyseuh6f4+Dd07FWNI9yX2I
9pBnYk/jPsCx/iTphFds4TAxZjkktWJXfHgW9VP+3LReEVFSXe2M3jSemzZh+cGysjjQIYqPvJRR
5VQ3/aCDk3Lyo1/16ilnYRtJI+3IIkoeLTmgC8oNLG7QUrFfVa8TrMBNb+Qt7bJnoB0mdhy7jfLQ
3YXBcpKqPw8UXuDgvqAMe+0dFDYeLjrZt0UtEpmF+7zur50kW8hWOwcFSioyeR4w0C9SbqBSU6rE
tdGaYKGNjJcf0LY6R0FbddvNZdYd5pHOWCDUGFW2syQhmgjgQsETiGAZcY1yKWpE0aWNJP226vDX
c6V1Us+uvZbkB4sIesnxYkGZEd5V+dUSeWOLm9P789PSKH7XUiqPhVt42x5fwWaSltxRHzRAXeOI
yogDPyLRyPp811uOVUR2jkubmtDUKrLyqw72O1l383VV/0qGfe8Q/rAH///pPEIP/ett+tshTn/e
pld34d/bNMwNGIsEA7e930G9b9s0ZchHwz/EUWRQEL/3PXBW3ZqaI+ir8IN+yLC5/+F7oA0A+onN
NUA7H7j/ZJ+m65nRP+zTiO+5mFIKYBEhH4Q3V2H/O7HZz5tWzVZjzrODZyelWE39c+07dfaZLIvy
IKv0pNegswTxl51mZTkpoAPFtGHMLe8yO5+SQGXTroWuaSLMvPzIIU+ADcpeW1rel1lZ3ZiyxEO/
MDt1PAoyxSXdWTP2Oa+DIikru4qo6kSaD4MDt1+0m55BjRor6p2Woav2lpJ9g326VCaeWZfHRcHb
C55nJxpFeCpYXx5DJlTS1ZNJWw8gRt+UIPgqEFRVSLGlSxpiZTWH0hOnQPfZsRJ4tUsrLCMeOjZ6
QZthySk9k86hnydoAu24ceYypkANkmaWIm2CAdyMa71IRq81m9XBz4cHykBGZZULvUCwOuahsS5t
wT5OCkBZo3261V7xeSmK9/4kuipyR1rtp8zPTrVbmHdt1WcJVPgz7xy9H/LirYfc8mK3ObldZK/T
kckm8TtpwzXRwHl4qEKAfhndsIlYB7eeyckDw7kVuQ1AocW22fr+bSB5cV9RuZ9y8wBfRUXaVe6W
BPrWZ9hIw6xVMZw3luQa3f1SrqUEmWg0m9I60XyosP21ufcy1mjsMuKUxz4zFNBUZZkc1Ebbsvaa
496NUG3E2UDKgF7DacabuMBvgj4UWv21DsLGimzbtzzAGMZ+sOxBir09lsuhHVV4FaOpm0gvgeZR
iC8hu4aZRkEhQBqONCxPNgguCn3t3h1bOidfXtr/66vXOizp71avf0lQIJ/+1GN8/bFvi9d6HNN6
FMjXhcZZO4lvixeSfyi9cFwutk+C8v/nJiPEWZruGhX9QlV8W7x8sMnAjn0sDT7aA/sfoRPoW35a
vDwfrjDqJ9QYGAqGqfc/Ll7BzJtwCPLhWgAXPAQydM9YzY6Bkk3sDe0jA+3YFH25U9qXy1uuu8a6
HYyBkLyIGBqmvA1zkId9aW577h50V2lsy50AYmdgPpbU2gJbdSO3zlNejvkeCjeJeY1WAhoEz+Nw
bFRa+bUc7g2vX0LwWJHFfIiSkBmLuLY79zDO1nLwajXnWWwCI8BGl4mxMwubc/sZb/MC35NkW0M1
HBhahns58PGxDoPgaAtWngNHwWAQ9/Xg5PUmqAxJaxqIZGwtkvhjqBLtLE4ipbAjm4XQJMAYln7b
bxpOY6+3+9Sb6wvAujEaHR2mo1zQtGQ9dMtcYeWeugvtujDuVfPSTvxk6LTJiQHaa5+Jy4/Tspbq
RT1EAnpLVARBPA3dsFG4wxHPrH6Di/HP2aTZe7MUY5Y24LZQ5FrQxPOO7sJ2uMtL5z4oiBr2Ncut
/lZQ1exgncSqydmu8Uyn7llPUODlQ+aPkeNn7tah01gAQPQ+l9kw7dcY7HZQZZkslboxRXdhbn1Q
Mr80xD4GvZXqbjpYFUv0Aj2jAZJYAEEX9adJ2XeiD1/+u3h8CS+Qv1Uo/iXB4L39ufBZf+rb2gHq
CrP6nDWkgLGqWCO+WzvIb1AucCin9xXrwEL1DbsKfoNmgGST53igr75ECr6tHQGOrMGRJZgpgnnL
WFn+GfDxJ1sUqWYb1r4DrxB/J8iwH9cO3oL0LpxAXi3avHDRQ7cd5AdqvL2kgIILtsRdO2x8D1D4
6KeLw0+haS5TUEHrnipgVqKpooFbcesPdorgQ0q0cz+J0d4Evh7ikZsTwdbOLFRPgvaPIrDrWFJ5
yr0GnLDV7mTZvVZs5tFA3U+ZLbq4tiooD958nIPxUzmAiwxKvIhYhTfMgPWnRgEfHCyZtGszCokQ
9NYQglA1BN2XViZVGri18bzE5vI4zB5oXd4/OzB8E2i3nzRhB7AAa0Wj6oiPXRlVIHq9HP648sOb
JaRPY7YAVQxECUPYmkCL9vgvK0S88NqOqopnkZ/tHbCvxkej3kA9jexpflxyfu59dawB9Ob4TJE2
SDRUtn03iTIZOa82pbLPGbUfMiN7rEMoMnBUN2iPboShXFpB5LrOrnKMABBaPwVea8UMzOvAY29s
BL/v7aJ+D8vi0SzudOyD7lo7fbdFpwlfsmnfzxy6tCq3VT2xyB08aEQT1uTBAbSfZ8E55/aj03RO
NIjpamFI+6YshyWxvYVvlhCWAG9Da2vp4c6x8k+ezPQW9khMYXocNXvt51c4QwCV2WtnHL0dWrKV
A+D/FkCdfgxpru4lkXX5JvjyaZrzu8VB0sAfao1YAwDcAEVxccnwfAMPVWQ397a+2m0WXl102AcT
ZrEbYmWdfIbAhykikhMR525oLk6xQI0Vupq2MJafJjUlvqjyszPrN4jNgJA1DxukP4J8+W+L91VR
XZelv27xALa94kDy1+4XSx1+8NtSh2FmIHbXc0mBC+EflCH/LpPIbxhHilQ1TvogFIjp90sdusIw
xGlrMKB+XOow0RJZbcxW+doYkn+mxSLW9WOP5wUO+kiGKxFQCKH/U5mkeDCOcgz0lRDJdzXPtjnH
m9Y603HwR4O93O5O82DrrUMWZxvOw40qEN1yVPWhRbAm6axuJ03ubUKnNTGfmBMVbt7EQ+4uUWFN
dpL3AUj1hi2JNc3VTcPDp9xb2nhsHSeeyXKEg3lqPXcHdQfGlZVvG1M/ZdDYkJ0Jzktr8JLoctwN
sj/wqmhgnUAfDgRiD65/ZraLaBnqj14Et+Hkl4lqxW1P2lfbc9HFePxxrLw6mgAUwUL3x7gclzNT
/tOcwWmljvMcSv3E5vEYlvQ0+fLB8qpzH0x1DFPtnWozElkUcEQ2HX3Ey6DHppRbL7aYY97wtCeN
j/2gPtW+fkYY7gLsvIhyb96OMzorPBRIZQVdpGaZR5bfbwRb8ggFpkycdgaZmzVmA1l62Izjmocr
qms7zXB2ubPTOTq7eRoukxwhAi8T3XplnxasuZvLsYi9kqrYspcbJ2Mf7b5+KAeTwhmqIoerm9ll
qcmrvYDRiqRHd8MG/13eZHxTu+aZCSzNYvLqBBOwIXspcPWOMF2ibH/bt8ttOys/pbk8zFS+5QsS
ZkFvv4OASWEs2hmScuG1GH37IjN/Nwf8vrm4+Z4NWJim4MhMUcQ4ryoVPsRmt4GJ1i/Fpnf6EaZa
8AzVFptbo+xIarHFvqqistIfS5/ppOixutkNTWUAi4zwjenNThiUe1VVfGhb5w1phrdJE77jjXtZ
7cV5bDiQsBHpQCPdR8crQVKYwMZuJGKtmkPlsb30KDz7PG0DXqYUOMfGzGjlbc7MNviyDitv6DfT
uArO06dwKac29giqddI226VxOxTvzcG1GvT/br0LGVIl2s4K2PA+JHc32NkWV1vdzq8ADR4E0cnY
VUCY0Rng0cVzFD5pByGzvOnH+8alzUaEfN6U/oDOA2ZaTJeBbnpZF5HjybtwBDCJyNAaqNmrkJ2y
saNQItoiQQuP98KXwyYooM44jbaxXzKSWtKRMYFjeTS2us2s/KPDJ/e2z6q7oHVJtMJx+7rDZ8n7
CdL2Mmw6F4ExTpar1nhTimqekbirbzLfO+UVIUlNCjdiBb5Axd73PT10+la4bh21bQBHpcr2M9OX
GbR2NPbTIbT1J7dbM1CmeK3cqt74JRJs1myVSb3g+Zi8Brhk43Gw39bWMTHAbps7n8b2VBT7Tk8b
oRsTNxkeg7HKXs2KC9imOWdLSSPlWPdz7e6QBLLQruWPFi/fygGvDHKBeLZrL+1CFGFWVUeQbxzY
rvIBGNrncNSwIGY8d470tzAAQHmDvouseumjkTfqZNmzd6aqerCQkbzMI7AOgFfFxg+XLJmX0YqH
LEMmsCUaWMR4HtsyiMDFFAiEivu8xdPsuZzuW4nIkJvhjgP2ADJpllud1Qy9o0OjrhqXuDbWndO0
Q0JwpShfmiyyRjgNaGCydDR9keimd3c57tfo5ocSbBQqlea2cp0jAPp7kpGHzBM6ofZ4QEDG3jjL
Aji/021bXOuZts9liBDmhnWIUcbdUByHYUTH049OZadiyhT6X4GIZMhz97+Bk99dVmgZf10TfDst
588lwaqBfFcSYFcPAfFih0d6BLLqv0sCinNjAqi7jGFwEgqDP0oChnMZQyRL1mz2KrZ8a32+JE4w
CSBcjdkvOZVvqZsf1HkE1n////d0ub9OgPhB80UHtTKr8HtxPjNF9uXH1qeqpasNDq65VM4ypjXS
qokm/ouPQIT2hycbAYlyuc0Ql8DyvLERnxh6/i5b8xRm9eNqRCwaRC1g/CB24Uzlu2rNYdA1kQE2
5wPrQYeaCaohQhuEqymuB516tM3ifE122IS+t9asB11TH86a/yjWJMiCSMgkkJPMeHtQgGejwsmf
Kk+flAlfFquPZB208SSaV1OUkG6c15bRZ7zBdsz6+dyPYB4NSKKkbtY3wfDIq/T4ZEjwHgKROKqa
ZhvAoSwhdfGuHOR7Yvxl71Z8n3WWTlmw7JbGfo/l/ILsd2yYj5z0tlzIpgl1G3nF9G7IxUsgrN1E
9FPXWvzg23USdm5cqfFCC5LCT7nMRlxWx7ExbRmBFvuk4SkB1Wiihk2XcDXXtLD3rk4LxFkgGsW2
fc+bc+undV++NDZkXvyJ265b4JYhgydd2cHZQySwLOzgXeZmESLf3Q5pXxVnk7MtMuvEKj3tdI/q
JxPDZtLFXd2xEyN6SV1ILjGWyF2j5afWgmbf2x1MQ7QvLSoVNFfDjQnCHSkIQ3x5VNtcOW+9EO5B
KlwPwdDO40sU+u0HshiRAFA85UBtdVe8zgzJ5GDwT1MvrrIOL1XtJqzw1v6vOE0c7YjrJz6o7qh3
Z5ZI4o2RWm07vug5ZtNII1m6DRpNGAdC9FUs/BoPmwB32VfLTdj7r15t7bkl+nTo7Dgj8Lps29yi
Tepif030N85HYxdN7DbFnaJVkeS4c1btvPP0FDWVbDcE+YVTY9G9DPS5Lub3YzU/5l33oW6CCcyw
AXOIKQPINw9FbFpaJWXR77FMY39vyqdBwGVdAj+MRV7dZp3roMicdxWFRN8imxvBr52iUu8dG7UE
3PDPuB/gx+qr2+Yw78nWo5KAC61gVKNmMdK5Lxb1XlJx7Ol01osNeqlXh6zrTwSQtV0NSyRJvQ/G
4EPR8X2Y8y2EUBmxoHuYulUQtN4JzfZE6cPQum+wVPYl4VeYo+9VJ9+xssGXukwn12mPzqDPw1iu
bfZ8K6txO2fi5A4sUcu0q0O9p62besbdNTw/cJdg4zfOsZbTcerIDThrmQ4LCE+ICZMPJbFzlxTM
+7UeYHOYxT+0oX0Hqe1YCmS9S4MovqyGfTHaV5e0Z177V1WPHzthYAdz+77T3RNXzRFe0hmNRJJz
c6eIhKGPl76UwOUn8cRLf+txvauYCPbGU1s2Tjmejv7sqBASru/cugXfw4K7rawRzABp4nxo92NI
nsk8SRgcKMFDe7ibcu80tCNyyD5ocLVUz7Btd/4wYpfuE3tesO0jyelI9n4Jwu1kTZs+nFIpxhfV
DrvOI58XRNsjIezNAm9ZoN1D4bmAkr6zMdIrlsEk7TTQHta+2XEOllstm5bJY8iHE4z7PbJz/Voc
HkHZX91RHjNgblGh+XnCvADUiOrDKDARAUnri0XCbaPDSwv6EOb0nFYNoRvh0UdBh9NM3SentC6I
hd8v6y0EC/QBsyTwNvKNY09HtC5PMxmvDqUXUs5JDiR605rp1baga4maC7wnkIB63IuWeqkauNg2
QfW+dpyzCdFJ9KLdlbrYlgq8WMfoo8/IoQF9l+dF4nXWLdBoGtvug8+HjRDLh0L694vX85OCprsn
PLurK3W2FMmirJEbd/He05ptfTuLXAeMRNEzdwN8096Vs4t3mb+VKIgiX2lyNL45wQ2wgdGjziPC
2fqN10Z4KGrwPQHcPE52XTU8d5O4b9RyMgN/yNpupywIV/MUPKpJbPGZH7iRT32Tj0BVb0rIxgUZ
Y7tgCLxX89Zz9XXqOSr4pUsCNu4suSBUH+zbjsF6o7uWh/hq6NWCSRrlo7kdB/seEZVgQyBeJwHG
ZkQjnW5rh507if1+IzvLlhuA8OLRq0SPxZ/5R1shY14FckzzhkVVg2EOIhjxdi6nRsAzRUSjjYyp
weyarc9VeAPSJIiqflSbxRJNZEP6glQH5GMcqg8I7G9chgYVO4wX5aC6ktpG3hzMkvclT2CJZF7n
QegxHA+FnOFCWuazars9RiBIFKqqjJ2ipRETc7DxpHwaNbfRSbE2QY5LoR/sfCuqCoZZBBU/TbSv
r6qh/XOBLHkeobG30iGYvNtuUstBBkuN4ROYBCNQyLt0U0+LTMBhnianPYy1uLGDMnVnVNj28lg1
2R1v2uPQAMn3HRXbMoDeRZvnbAL/7vNp08KMiMYSwzRcwBxO338YiwE2bPDiZs55nAw2GZFUw5j2
mRcJp3uoCUTSwM9fsbI+Ihm6y6b8Srz5LSucY7XgawpzscGDpOPOQo528Y6Qzs6ZkE7MEPYoYAUD
mz+MA7bo1gxBwloMXiFeAj71rsf8zQgUxr7m7OTNYkfbJeJlva/CKfI0KRFsg0bICgfaRHXfY3bC
qI1J0O4+KDmpuLLKIxHTnhDrDGk7Rim0tedmj1jZ1irzPfebI6/7J+hLR6koAHrstE6QlkH9MSuW
TVHy2zlDpWC8erNk+aYFweU1/VuVhydLqbjDQzfPw3EI5UfmEL6mEveaiDuMu9kwW8QhnObIqdgu
n8l9V1rrIBnLipHKi4wP5RMIWoY2NMwKEg1hl/YF3VWD/TwGwOoK5AU9TElxQJigtGiQkpENVvfy
WYKs5tRDtqK1NyHaMwjicm/VxWMYZlsnWG4Ici9R2dMHM6F/LeonDaEsQXci0AqJT1mrxxgwwbDp
c+cyeeSScef9THq2EUWN7srfFqHYh4KEKefZEabxW228S19TfOJJItxh42HhevLiKfAn1FI13WSG
BVdN9UG5w0bLABZ3T26la51kPy8YH+KkXWe1UebloOM6Uu0wv+PFmwpzH2KlSUo5n+Y5GCBm6afZ
W25ri73YdpGltWieyYjyhbAhLbtRxqrDpw4yeFzr0tMgSDLqMN9xdIexV5fnGgx3iUEYV8tujzXl
DTjvbobhX8HcnjuUiJjMAbLts0Ggmo7NPRczolcLEAHfLiLTD6elXXdtz32eKV60ggQ8aecQYLJx
EQ8UFzBesQtBbu/nS3eqs5YBdHSeoP8jgtZmt2EnX4hAM72+7swZEcZR2M3LdnReghz0W+3e0mkW
p9BRYP3rPa/Jg81R0WiPQD0athwaB6nKU8PJdvBdTEXyqs9DAEEB2bMNd4KHstcH0RfHcmSoM6d5
09n9s6HNXTjDhVO1fykov1RABzGGwRzVXDw2MnxxZ+cuwDp89JxCbQbOdGr37stShfuwo1ZcEKG2
asQvtqAUYX4P+EPljrsCY3yiTtXYHTHDhTj3iJfaaCPa1nI3gTSuXcSlw6yNTUW2FPF3Hd8vWii0
Yt81UCBbofWGOC6QYo8PHUZ+aqBsQchs20pci7qOlDp3sFND9/7vLwIW9xcXYdRFNNKBI7N2cd+R
OWU2t47VdeJKDPiXM7EgLLoP/fTw95dZAZ8/QN3fPwv8c+CIyAkggf3jZTJCQnQBBIW7/XnS7yzn
PwUQ//z7fdvFyS6IMuPr+vm76kLDNOZ5yaua8KDtguz1H//9PmhmfEP4oqB0/wQac19li+M11TVA
34FZVeFXmQP02q/b5R/F8z9/Pz/da5eVUKCwlMKf2VpVXILE9BMXgu2bLL6iKP/kUgj+MkS+XQBe
3jpD+/s7LgOocxPG1FxJsRtaEKxRvcrfMbZhq/7q6PzltX5EJ758rB9uy/qIf/d0ESoQ/WNSwj6L
ww4VXYxXC2uqGdO/vz+/+P5+uNBPH0r5RaiH4OuFHIFhMtGcp9hH1q24/g/P2i/eS5wyRAlANpwm
Za9ny3z/oRxP2Robr7p2yGjB2pk3Xvbx7z/OL16X7y/x8+O2dB5qJY+oqwpei+zFtf4XjzNYQCD9
IZLF3hft5rv7ghFMXu9aNmbnYAV0fMCu/4vFC0F1glNrMegAON5PxreyFOp7RvV18V8n/zLABSb9
f1i7fnXT8RD7cPjBF9JV4/r+RoR5hVEcwQKTA4WfiYEcU+92xOiwOlmc//Ak/+JaASgj2wZJ6VPo
Tz9eC6YuRLbCU0DRUJNAVMYwro3fRBo11t2Xm/9/nRXzsDh/9xb8acYOJE/9C7kTP/NN7sRJPqtj
CabDxuDhL9Nyvsmd4EAwJBKTw5E2+WKB/iF3Br/hfmH6AM5sRKNOVh3ym+IJUAzgGMZJYPL86pz+
Mwc0XJ+BPzY5TKoEMQuSjSKmz/x1YOaPz0i3EGEGb2AX6DRouuCgIDCog7xxYVjwERHzJRsgv1g2
y2US9Jmvz4ZUQJwGgcI57z0izxj0SNAZ2xzX4DGGeKHUyKzBLcINpD0bmcRl8jAqbuqLATn5obLw
tBPuWlVU+lZY7zu3pXArRo/Nt0PhQz3AzsJTf4Uchlk92WQQMaThXb/mSboViWhGMmJ0VPuFNOnS
bCAPBQiKVjG5wUicBMmyO7VCFgicQ24Dd1Hr6qia7ISC7tF0NTaqFdGo62o71HvkD5CiXiEOseIc
5Qp2yBlls1hhj2HFPsZ5earAgVACM1KCDLEGICL1CovgJKc6marggPTsJ3sFSsQwPvcrYkLBmlQC
/VIF+qRbMZSJoRJkK5qSjU2P3mGZk7JnEm0mEBbjtV6E0aYb4g0mKVbQZQLxYrnzUVqCxwOS9XGV
0U/zXOsYY4zSgjQ7sYIzQFpPxYrSiLZ9HDzMyyua6dQNJZCbFb5ZQOFYyF40K5aTlRm6L4TSszar
926OoOrs6kth67ummeLMr49wauN8LlSEPGFEfcQswQG5CDZjXtqY9A5AevB6MnchoNb8AMMHsEfA
orXuiOx+LhCo0WUaGN9CnqJHGhVpjVK2xYmYZUs5fxrgJscYQyjggmELtBi/mf0Wwbqwj2nTo+uE
6dmQ9olrgyex9I7G0PseliGb5RgVM92VqrjjajwJz0mQpcWcQ8SJNxmS31HtWtmuLbM8JnN4Qzzt
b4LGedOSdjuKnFnsKX3xKPjg3EGWxCnf+R57XC12jLy5Ijpbx4jmwKqTIaQmWaSFrB4nOJ0GVvZA
nBcC9T7xkTUYJ3k/l95e8QaiRQYhM0eANjZdMeJBt/NjXbcInocL2eXT9KR82HKF3cODnx6p2z24
HZBs3i5blcNU7rzYKsD7eP0HTF5TqOZhVA5+CVmqpImGv504/XCP/reEJEvRyBm+553Ld03f3A1s
ecEMhPeNh1Z4FvAQQ8xW2xQj2muXDO9GASGblq5IMDbnYFn6gEEvrwoRrIhwOLu2pvehx6Bgug91
R7aWo28m9OjRLJz7tU5OgpzAYZ+tC6yzM/RoK3ZKkc5CPgnXR1NCzWvFl3lXGr4bxtbFML4gjJWF
eIhTSZ32vXopFDJVphOYXTovwTGEWZ2ElKCfWtoT0M60QpOXZrZE0wJSJGIWFMfOXCl131oJkVW3
zQWBq3e6yfJDWzlyw+j8VorwDo4JZoKC04+onE3ULebzNMI/BOqBOYXcduHL+4iEdT3dSn/SGIU1
3LMMyTFGUFcAbYXSXQsYsJjPgyEk+a7k8yvLewX4XqnNzEKEXpoztVyML5wdzP6UGC1bGjxQmKSx
WORzO7lHrsXOLPoFQXMbmbxm7zsl/J6ZHuGmj2kwW2NiDwjDzba75z3guaXAUkLt4kzL6mAwzQ+y
3xGk3m3RAsqXxT7vm/ssbz73MwpTNbUno7Mrs+qHOsjhmBv4BiTn7BhiXcTaqPHmSsQG9DBti1I/
KQ0x1p9CvLNdBnR0ajfIJvcY+To9hl0/RIO28E6rGr9clC+z0zt4Hee0HAYClQ51aYjQeloazPGc
3qZ1qAgGM4iNMu4xZ9XLbPCN0nC4l1Nvb7JRI3YNU8DprEfMlXrLeY9hEaVPMA/S25NOf8TwmPdL
Sz6PFA8DMlAPNXQ+RPGok3gS7BqFCp42lX8zFhi24WQUEP1kRVKOmA1R3uGjJtOQX5fKhT7vNgEC
dpYdLdI/+WA5MfCG7AddCrjWwbx3J+/errPnHG72tpXirZo6zGNxJ8TFpkXtunJ85yhMLGU+Jn1M
czuG3deC7L9V0sqf/7UxfNLd//sXjkCWb92fi6X1R78rltBug45fx/J8LXv+XSyBf0UxhEbcwbwp
1Ct/FEvub4G9ArBYBzB64csAtW/FEs7aCwNUSai+4Cyvqd5/YA//2EOhP6cBIZjhBX4fWWCf/NQY
FsjpB5MK/4e9M1uO20i77ROhA/NweVBAzVWcRInkDYKSSACJGYn56c8C23ZLtn87fO/oiJ5kkioW
KvMb9l5bXHtsoUCgo2Rn/h3gTHd5IT8VZOtPwXJkQV80sT9Za3v6Q5vTMHnNrcUS164Sac5pr9IY
eu3sbiJDz0JhALyqIDecndgF31EnYpMvjP9yXdyrdXKXp+5Ot5L0PKoq8gpNsTaaC0qUZZq6UWOE
+npx6Ifkkg7evu61s7qMd8AtLs1SnRis3KRtfFRFNvsFslRmao23ddYLL6KigAHgfdcmECLgU/jD
LgNRlPfvqTW1XFM2qN82gunsR3z9RGnHwkeL7OMIcGoXjaDIO0XOvvAYfU79UiFmQ+q5aXXzM0wG
Z+fklvEC6Uj6CgSwXapmiR0mfVNT081sGqtKm4N5Ff7uY6+OxEEzyg47lOFe7VnO087pM0Qn6DxR
5Ru14X5e9Ia1aqPDgVEW29pp1YjmZYMZEAIF5VPRzZGvTpZy4za6cuH718F6K2UKQ+NKKXduxU1p
91HLoFxHXOy46d7IzezYT43t3vLzpPFizbEjT/qMOxlyqnFfQWebbhNNIAKKZ48D2XaOA1rdZ2xv
5pfBgbzKLA7fTlf25sGtMqtl0W2Ny95NhsjeqKP0HqvKNXy7NOtQ6VUz0GuMyXnPJdLE8XwYdGu4
en3vhB2/8zNFl3yVSXyaZlZ588Qe1WvSg6IXWsi4ji1JPoz3y9AfhUoz6FWadx/PloZ7IUkDd/aS
bVUX6mbKTGb0WuA06ReWLcOZt26AIJ+ysqOWD6RuI8rJp/QINwwCbUcp13W5tim9yLzKZKBZmAGp
ME3dj2bpBMmky7u4FlroKsWFATmyIYk1BJmiWVkHTCoU63a+B7afBbGh3kpvfOigaDzGw+S+Vypk
XpEF9jjZ71XaB1YhgyxqtE+q0m+5vraKXmWhp3AxITMUKPF8adffpezeyrR9m8X8GTxm0BrD0ZuK
LQcILrtlZ07qZXYHijI8qJbOKDkJMLZ/pey+NIWyzUctNFp2Hv38rWTdHFffQGxpwWjnxm4CHhNk
1vBs2enXfGFfB+1LHjuAVnB5lrNe6IjA9Ytd99xQ2TMQuQDUEm5s1+FitLex7u57dXmeIhnGBQrs
Rm3Qe8Tc/8BUDsKCCQi3J7Ac55bXeG/1+OumdImDtI3kxhzU9JIwgdskkX7X5aW84L85xfrEw7yW
Nc3EtjiCLY0n5uTxIVJRWeteG0yue3Zr4wzG+ouydJvMch4w79+VTX12+N+D7p3ZH90lXnrM9TpE
3ZdCKcMnPmeaLxJkoT34uVUDds2U7KXKtJeacoX8sRP7hCMNyx06zQDUSgDf92KZYtPkzXxiubwH
y5hAlpm/NZmz75G7ei1tWILebl7Go1st86FZyvLYQVku5sihcCzzYI6p26zJyHaNV+8iht/3y6w0
fzON+xPDJ9E/QPfI8nLR/vCfP5+8yaxhObbz9Fo1mQ6O2mNYMsxZUBRDDrPdQFSOfyeukJQW9fKm
1Y28a5pM/eSCPPCrabrv19ZmioLMc76oU7fDvvPOmjoGmda2YSyQ0tpYlKqFZzpfhZkR08VRuKhA
mkEPHLfbDxWkaWfpN/igP+uYUMNB64yNBooZHPpmbDZyOmh15vhdVO40wSjHHG5zFMqygKWQFw+9
I44Aok6LzI9Nr5+dujq7Uvd2HXL/QM7pXp/oTeSANCRC2pOYYsfczkG4Iu/Nudc2dWIf1YQqqTNi
9Rx1WueLdnoUKX4vz+7Zus4oF9Kl3DS2je00zS5DvVwTKQ7ZaO0sxC5BmjeHqMw8v3fp54qVydaJ
0IrrM1gXDGQl7CUEFNgc9txrLUh2Kq9qlttKtDeZyO+xydFylwM8glKh+a9VOtX2lp3mEBTLispv
xaM5o42Jp/TVU50TILpVLVxv3HbZQsv6DlR+p9WgqU3tWRRsHQ36buzuI+eQIavvleec1YYxQuwp
3yPNXvxab3y7lxML9UJjW7eeZd05dewnXc23rFIH31Wy57nQtY2QcxaaSXxjLJbG9Ja9nVkLJLDg
GolYQEIOkbe95DCfDj9UT7f/nc78qFP7edL6UYjgEgTBrK/TXNP7XYkg2ElSnUKHjPo0MMSx1f8O
4LiOg/83FeJbIrJjt+LS562wZ+13UyGQkCUjqDi+5jaqXfsm7dN9Wt+3o+BJyDepDXRNhH/9qpi0
/s1PXV/3D6VPX2ddbRqKcmEQ8oA1G38O/4Vb8Sk2qT3IBhGbzrW+2JFxYB+dbQZYfnwqaOFUnelm
2S5PleKc085UNwCStrk3al/dBIlVoYpHG5R5EGfzycnNZ/q96ajlht3zNJVV2C9OGbq10gQam/KN
U87zoZ8c42tVCkD2SwF/Kk2/5TyrIRy9JOAEnoOOncVm6L2H3kQgwXn4iD+RKInYuE3m7jvdz55L
6ZNs2629opl0S+wNNVFCoVKhsAAvd/PSq5umsM2gHeH7O4BYYBLQgKWgVYwYmoY3n3jo3xs5stir
00NrKvt5ND9Ni/hiqtnR6hDgQbmN8SCifRYdlHi7tw7ZIk76CAlqjvTAyFWVCybjlFW/DPiG/FQU
FzeZdmU7htiaeILVMOtiGH5GHVSicP16EW7Q5tEFGRjWK2evVUyE3Hh6gAVDAVcrn/oOqL1hIPBe
nA5RGa4Era9e7VWxpxZ3ZMfgkp86X2rHwRoUGCYoi0rWtLWmPZZzsp+iacKu2V9rtj+BqK1Di1zL
bVSmY3iOGsvcxbV5dhAs/c3j9nfP+FqI//C00WU6g77wtIlzeRtflW1zaj6Pu+UApeSM1ijZfNMR
MRy1S/kynv76h69Z33/yAYMejr2ObenqSP7xh2s1YpLMNZVLHVh+edY39ZZluXZSvjhbNVQfb5TN
+csQCtQer/xbfsUx5x/TbXQlDqb4m7/Nz43Nfz/thkp5iamGNsr63aJwVke0KZpIrol6Wxs5vLgv
7bD/61f885n1x5/xu73H0ha9kiTYUavmLQZqNN/99ff/09eADthh5WmwF/7du1lMNnMXSI/XSrlt
PD4PFjXnf0+of9t3lXfj/27f/1/x+r1q/9i5r1/1a+e+Gr3YVvAI/YbP+rVzxyrPXsG0sZWqP9vh
2XKo9OzsvhFd0/fyIfm1cSd2FRYXPi8Te5ZNNtc/adzZnPz0cWPLAcGZEgB+tMbFSTrXzx+3qraY
Hc+RvFFz41OGf0CX1qkw5V02YTUZV4tBrALC1cy9mGcRFKsNgTp93HRTT0nd1A3Ih7EPQGPeq+bC
XLwGCjGanc18UcNvtTo6PL5XSdJKmGNJOXhxq/t1kj+0q0GCO8b1tWq6KA3miaIUNYkrGCqUyYoC
ZzVZ5GukSduNzVXFgcEmxbo4w1Keha53fmVTmcQRIkZ99W5IaiN3tXPYCZ3k0pafktLF5756PlTU
bA3iwMjt4lBmGssUs3iDsvwZQi3DM93aV1hIlNVLEjXysqzuksWKv6KLZ9jO1mHTYkEp24PQztpq
S0leW2PTefG+qqI4GJH6QSzBx+LMGR1NPmWBvsg6rLG7sKSvfaKQvvcYYRDHjb6n8oLaITpIzDKz
4hAZVobKcu7x0Uym+2Lhq6lWg403W2rg4bkB2nWbriYcc3BhzU/aTWa3q0GnD5md8JYYDorvOJYH
ZzX0wJ2911eLj4fXZ8LzI0sX7ORqA0q1RNvqqzVIOgMiKxvbch1VXZivFqIoA+nRqu5Zx10096np
oyIPhFtiLpO4uFYrUmMAyiZoiam+B8EYwUsTxqt5Ke5UYxPhZ4qVFa2V1rtGFUeZOZ9Mb3nVVhtU
MWc+hBgm74kXVHrCrghyLVuJGon8sArzm6Oh8VoW3FWeQQhWFmklRzBDgQc3wlbnthJNMvtos/2W
ViPC50G55QF/9SpGFOT4lMck054YJ19ayLuB4pqg5EfjDc/cG8yZeSu7iRGEdKO9M1lfCz6ifsVf
ZZOtI3b0S5RZsTwVrnochHiuF++0NBpcgCrZVaNybtBe+pJ+iWwhpq9VFrH7kfLaiYWPz/ApiaOv
TeK4+9IAPyyU4oHVD5WB3n9pDIewqy7euxb6pxlBVDXbxdaV5cGOrUcYLslx6EqbJKflge85nhsq
BGikVRV2sd1uPsizAzLfrQYZbmtMGKVUO7IDLTK/SNqEzbD0PctAGkap9xMyT0hnyYwKL5d5t1km
WT3FahTvyyRpb4VteeR3NcFUztrW7YGW6QvQtI4ovEFgS9KrlDeoLsMoF3jC0owFydzpB6ZBuNwE
JR919kFdGCo3LooyLcp3ZGqZGBeM2edYJJELYKUU3eJXTbk3u2YvFDsQ1UL/JDqYF7lCZp9ldhvA
tPS8ZuIEYF2CziQhap0oKKZ1K2LPr+TwqE3iZLX9sTLmq2e2D4PD1nGRxS4hNcgvi2jxy0y7wpFD
6I7REhfqbWH2d1k8fnaz6SKL5UlGJvsMghH8ohKf7UE/MvXYz1J+WgtXv+lL1VeryvA9ZH2ZbEJH
battMTNH0dvpErXGHVyhVU7IDEmvjzpTCH+W/btpRS9prN2YlbgClL9tBMM0d5Bfo8hC6ZgtT3mC
k5yRvBtCz32hN4WqicPP7/T6U5WYp0mp18gnnhqknnP22egFaDzEu7hsVzsX5J2jZ2Hw+ri5/r3C
VQqe//sK9/uue/uTG5wv+u0G55qGPkPwhIo+SIdy+T9fls4fcXF6/Otj+v7b7J1ITS5vJH+ri5pr
+kccl/efNfECDA1SHQaM8LP+wez9w/z1Q8W8XuFUCDahJqv/2zTXv9+PFfNQTxKUeGLcyInubpmG
w0jzH2hka2Lsb7aVQRfcdvMXpNRGIGPzG1GR545nK7BWWjDYP3PXtSRzYZz1SxUFvlBbH4V2H0xy
uE6tLQPTa6tNVfVfZ698TlKct0V+nzEgKefuyBLivqm540WDhcOrdYlDQD+XkLH8WHEeZeZVmxwJ
ERzf6HGpxBcLSDnnLSF69lTcWLFxo4126DXV0WE8klmLcVgG1vl9prubgV6MQJNQd+t3qDr3/Rhb
xxJLej23X9109j25fJ7g8PgZ40WfZUDm26T0BWw6WXDD1XDq5POo9S8ZnslNkiV7vWcFWEsH0kRi
tH7HeYvFwbhmRXPEVoQ0vW3fmwGp76RUnJi5e5NCTNyMcXMjrKE+TkUHfDfl1neKKoMv3MaEK8XR
VdqVio+ox4QFUvPdhVl1HUzn25Lyy0XYm9zpCDD8RLZvCIy9i6jyg+WxnIv0esZBJd0bmU4FDt6R
dw2Ti9/GoDKzghA/rrXE50i2d+kwwfZrISObTFzv1NjQdkstYobq5DwW5ZojOI6VnxYGaWRzTnNt
wOVUcKLsRLJGdCwETtgTvnqOObjSkRZo0wyYwoSphpEn2prEP4WAxvRdVxlFWBrijIHhtHSCxEft
0M3xEqSF+45U1vaFU5ihIlMjmPtZhFrkzLsMXXeoioRe1dSYGBKbtOsEJlsxtSRC6RhDirglcwOg
+T3wChe1iZWEAGdxAKpRFLCWNnxpGModIDbTLxZeaTPZKJXhFmzdWOk2Yh5dCGc0NAqYdLjHWXq0
uDJ3sZ58mnV5y4K2DOFczuSe1l+rHOF3mthsWxvPPNYeR3GsrdEyy/orSnUaWmmJxxImvC/XyNV5
DV/VJ7ie+RrIarlUlcka0prye/eNVun37ghiIxlNimCHXNdsDXhV16jXAerZXu3EtrfyMIpKblno
0H6BTdBHslP4FCXk8YmRWcIaJWtjdLxbiHcVU39vj0WGIHpNns31/EqqRLcHPP7elctX3H3Jtqs1
xDZe3l5SINIbYzXJtY19sOcxOtuKM+zcqDTvdaX/nHpVpwTqRyZu8pGPm5KUi/AoxIuE3yQRhNih
bNop6fxJU1DdT2yQNyqZu+UavjuuMbweebxgS+BFkkMCtDMO0zW0F9nMPjWMx4HrfQPe6lPRiKMj
ytvRkRtFcS7Seokc/dRX9vBEWfw22t15AiDql1BNAnfsx3OPU3rveYys0hZNUZypZ52flhAQNgzm
ewNwH/97flFHVfMHz/m8uPB0U7G4fieL79IhRIWMhUMl5jsSps69RRhflQxGUBZutctS6KnTkFjB
NFf4YVKqoZZ/vJQoghxpWNt55i3UEAT3SvyQT9GLWvXPtcnx4Kr1EDhZe0pH7XXKsOvIzCCfQyLC
0nqW+iR+NpnZromdq7ULwkIuB6LXxi89Vt7AUcxbb0KaVRVOeXAti3+yU7FsZzmL/Q4wr1D3sLnL
zWBGCJaq5ib1iBsV5C/4yuQF3dS+SRISwXmmQZTo9jNUq8IKq3K6lHr3rTKdQ9lbTyC5rUNasIlo
l68QU4nLqKY9LzrfJrra+4W2BLntXBPBKeNV0PXakURNFB3stPZKYzM5a5DepIw10/Gu7Itzrksq
+TT/2uHydErjqsX1TjGbXUxMBu/pZso1/rf1mrhpupFp/y5T55bcnY4UzfnQFWYS9k6+UczsjmgD
hbuAXE5jPiVdfld4SqClyaecrKbEJtu4Z5fRF+mnPO02vW63iKWk4xfzso+IbklXWx7jZ+npG7rc
t6gvZ597TJl30tWlS19EkGpsl/cqGq9/xxu/oGwYRv3ftRGQ5P7PkOIqX/VDceR4FlshU/8lHvzH
4oiJAuxPFkbmB7jvN2QX6YoauW7Mzz0L6YDz03xjBWwhcgClv84+vH9SHCEn/cN8w1E1l4klGgnK
4w9RwQ+zTHJXY/IlIvMmW2pnPix2VRhfh8ToohuyC4yioNhRdCwG63PaJw+zGZt+Zpt1UOpoe1jR
p9jUmizsvY5NpVWoe3XMOLcmg+pkqF61eUF6aKWvS4NFpzDIGmulfUI1SXREJG5FA7A/jrqwLqSJ
XpDQAHdG7ZZ6VFXQuiIWR9lATmkxhElLYnBidycE1h66wvTLoNl3qYGFNS8QN0xBOSy7tAE8NqgF
e0xR3S10NZVdIRSV+NryCqs8aa0bjxgDTtPl1RPtnW036r7nJKed0W91tYNNbC7VlqSQMiBLsSKk
p3lnyfraC+BghcLmfH6DNWMFs8WeTTHigITJC3qsL3XJKpbjrd6bkmim1mCtlNXwiY0KPhA22Haj
DdPJWFIR6u3y1rsRsO/hpHnjTkMyJWsWcoYMW7KEuN0GbhJs2+2Ac5yPdjbSvcFyplLFwI+znrhW
/GERgD+HFSzHA4qNEmxhvS84OKZKfMo5SNDN3dWteiL8Eg44WtDWKu4G3tJ+PYPUKW3LXado7ta1
66NmFV9LmTAEAafKHXcmbqbcmNzv9hHFcnunTdQ/L6xzkKfBV43LO/bBc70rNM6cWM3UJ4CFXuXb
Q/YNuQqXJZz3VO+/eTLZOroXo0vlj9N+fKPykezDJpLg8X13c3I1y8gNAR7N26ZL3keFg0648zOw
/k/dMt1pg/ZitPURA/5zOghvY1sSoVpsfk/16Tiq8fySJ1DvYRMQA4YV0l253BZCV2G1d2Rx7OGH
K2fCsT7NKS8LyiTjsdi9iSZEj1C+6FCtoE+wmVqZ7aHbm9X94rxrojJJluk+Dx2xIpjx9SAn5iaD
c7uzlJTUKvK/ao0wbAL4NkqVfIuzZkF0MS9bd2RmJ+Z4pyvyOR2rfcXHZlOuBHlifqgX5MLgYlXw
EaExjSbo7Fa5nSPlCU7w0a4xowpdPFpREhMSpDsMrhgbkDpGKMY+dzKHgRC+PKAlPiYBIloQKiR2
9i4TnOSF+TpICp6ckUU2iyuDnFNtIIOEQnQqx5zlvmEMwGW58xOW7AIpwq6ZyNLAPaix+c9f2Tc8
kwMdFvkqvoufjcyoHxbFxjy1ph8zF3x0lORhYgqpeuNTk5jpoU68wzLhRI/d+hRV8smeoh3BCg8K
fvrEcG8UT94lqv1Wm8u1KFZjNM/mYs9LUGtlHxBXdj8M1CYkvMR9umtF4oXZxPaWT4/9Igd5SHTR
30cu1jukIVvq/5ONq/Tfq+2/V5v1l1fbZzJH+/b1j43/+mW/3m2a+x8UdTorXxXn+McU/tfR/Uqq
5N5DDMFzCO+YLdWvOEqTvAwe0vW+wY+whoz+Nrs3mN2bOrAWUji0jz/6B42/9fubzXN0S8O+xpbM
gtL2u0XZpCrx0LZlf13mbNMQHhCvF4Bb+D9c+X+yUtc+3Hb/W3kzX2C0rLuAeXEtQv3+fc6plndD
Ywuzvqq95T1mSaPYm8JBo7VnQY46y/hQahEYvDwIHbG8tgq50ATGz3Ul3GO7yrw0h/l7/V/tFyow
40MPZn9ow4Zs1YkNH5qxMWqGYSu0CqWVOaRo6ZT8ZhS5hGNQ15VOTFQOfcFVYtBaqYzKpzSbvdBy
l1aFVPnNys3x6ph1fmP2ap1vkIPk87aK6I9WTpqSS8AeJLRXxo06aFZ2HnJx03bZSEJYOW0S75bu
882S9fcSgFsk1U/O0OzJd+UMtKudrvIqWOWGHrW6V4TWVBwitMWBQdMXSITs+dy8I3C/X2pstnr9
3hvDQw6HOhzNVjw7LFiYa2b9hWl/e21I7jrmqXepvSIPl4WxCQZr490kCXFPgo5KiGhTh8UQYZ/O
FSvUR/didN5VlnIMiGEnED1d6M9L53HWlKccBAz76cRioNHFnKO9gZoQsH/B6ESl7jDXb9GBSGBt
8Nia5HkEtlsm9xJ1MJW61obepE5PZp7O/Bb1iu101reBqbT4LazlvrE795goACL++hnT+ZD9PMIi
NRXgPZB6kw8Hj/XPIyyQNwj3gDRcZUgcA86Uh+UBjZPfbLp9uWe+jgItLHZO2IYli2dza4T6Ptr8
kkrwfxocfwd4/djFsibFqWtZqmoyVfv574FWc+xjSbhppMdHpJ3TJosBcNWjqfuuk3lhM0TGtqU7
IXnaVS+x00ZHjfcIakqxmR0G0pE6g4VfXnD0e1tJ4gWi/pqV0/LigCT2Ye4gGF2mL01eczW10Mwc
KYyAQlX3tUQUUFWncDagiUDwExE8INONmI17+xURNuv6zsQ25Tddy0PhmdRE5V5M0JgMLNaVSrAD
MGY9gp2fEWkSrMof2HiM0gdAtBO3eROLjKlK/BhzU2tGceknElEUt96piAd9x2vMba+Kh79+i1fl
zf8OEX6zjEjZAdmclzblvbeeZj/U4d6ij15dRO0VEp/YcRDkvHgVRmGahFbFhslsYo7r35qVPzm5
9FWL81c/83fvpjINTjtksbyS5PdsMU2c+rgKFukQKtZfsEeoPuuU2nca0N+57EC0lTNyxx4pnmKd
q9R9UimMCWRU3qPM3NZNc9Er+06Nlm9W3LwUUKWAWjX1f1UH/47i1+3yb+/gHyyDDxWl1p+YBtev
+vVKZmW+ksg0G3QMpfV6uf56JUOXhxwPJM3EpvoR7v3bleyS+02Yhqqjgv+YuP/vSnb/w+odz8Ov
Dew/msVr7s/SmY9Z/Co/QwqvW7YOr+3nx9x0C9GavT7fsGJubx0xF/epVjtPxBHpx3nMUMhpOGHc
blAv44wRZ1iGJNCsYfnseGP3QEBhvlsW8E62V0Who3SceGmTYM9Sr3meeJfB0KKzZXntHXhmvn6g
PAn6pYMvU9XTXnG946QvZIx3CfLd2si+paSQ7kQ5RtjoFraUtZxeCrbjx6pZKVuoDwO95NSSrlvD
sJo/ezpApNx4naPCOfZEi2w7ordOJXa0kAU4+8QO5PCUkxYOIAoqcpaRa0VTkqTW3rDXpbxndJim
xNJxbgoBfkNjDU3sXNAsS/zuiPo5mYiqXKJhk2b1kU2gB9KjzA764rHHhml3G2vxk5rNx7Q32q1Z
l3dW1ahhqnbKrrPj5bjEvXFMEtUJWWifNKWRB+RtXoB+zNxleWmGg65He1sbXD+14uzYwHf2o2q4
W1qce2R0536vWIuvWBa0FLfCpeldBYBQksf57SjIcu7TsTaCItW0GynJziIgtj40iTz2unhpamfy
i7wrfeCuzLzj+pjEDUphzIsJLZ7WIjvI1G1ka3thQqRU2BFM1rBjdYCjcunrV3zh4jJ15puSsTVo
VMbMBWOTgBgQoG3xA3OSu8LBUJlN004f8s+6GDsPMlRH/J6e3wyNdlvp4GuIGmWyRluiqLtJ7xBy
N1YY1fwcnAe1Tx5BfJHSYtxZFidpaG+WVfVbaY8PQ4IvQLKlIF2RoWpRqDdO7O3LotoNhnUWE+XJ
qO4SrccmmZMNwKKZ3k1slzi9KZa0I2Ko2Hrw8Lik5ouFS6DOlEf8G/B8JvNkRz1/0kcvhd5+NUat
CbzE/YbBlIST+ZEAJ5biUY0PtSbmBBn9XFxJ9saCyJSo/2ZS2W2owqGhRdV09say5lNRpNlZs9ea
t5/zijE+JEGql+kcw605fJxB/x7Gax3/F4cxsvQ1GeGPHdL6dT8cxywctVUTDkQOLdEPx7GBU9vD
MwCL3eDM5o9+6ZBMlqZkBlqqbaruLyFGv6ib2JqyFtU8l+7pI8XoH6mbiKn6qQLgOMYohL0JCR9x
8fxV1ungD1UHuX94fFu7up1a1dmWgzmiRDYR9ZjjPnF4foZ5ZivPXuGGF6GeiK9FcGCDZgL4p1ZP
KXz1i+2uRgvDaB5Eb5t7i1jW65hF9fcadC7GnCE9J7kzOx+bpE3tKZAaC02ZbiXbs5uG5OtnRcWN
oUWIxDZs2vhglFHJbKX2vrscMiROWzexpilHPU7QWbp28di5s/WcU8A8jLpFXq5MEI30ZUWB1isI
P6y5QhmgAoI0pP5WWX3+hN+83MeW9AI+JPJ1YMJKIoebsnlj9uaIEYBWMtR3I9ScvIeKGKdxHQyj
Zg43iQIh51vF/sY8aRhm5okzP+t32tL1ypsZe6sG0lxnSWSIlu2Ns0agODGGp4dEeMBwyfZoIBEa
izNeifCpIELGZjKZoC1hLCHCGOpRCdDU5FxtSgmKMe3z+Sukv4buZPS2XhNNz/a4XjuKA4Jfmexy
G7OqO869PT+wm15eyYjmdC5h6ZzikYMDoYW3i+oh/sp+Pt2o5bK8RjJZ3oCUPbUYIco4PSoOTVeh
2cNmtNp6r9RjrPmu1rOgnF3lFGvdfM6qCblp52HamoqKDO50jNOtLDo0pc2wtq5Z88V00vyQe9qj
kTUJjg0MzckaGGi5bbe3hbQf3KQuDp3SeY+12tjXyWvUoNCrdZ7ZWdUn+sniDf6T91VxRuVo5Bi0
atbfwtVw4XQDYHBFkVPIvLnpAlCL9bujVPJAnVDecw3DYlMX+yVeNCdYPEc8AioXZ4dMt4tUGvHM
1rVCOwcIT2bYa5d+Uk48vDFG+nK8If0qeoKvMT6WjDZDtkPpgwI36jYZcjRFTEGQrJnmQFqlBMjG
7DHpQjlZEvPPPDqbmMDDvT7ob55NSGJuHJ1pNO7gv2ErUitbe6uretk2qUrObi3XwD7GdP+exSqe
RtX8y2HVQ/rW/tmsav2q305iZKYUsRyd7mqR/KkwRr+yTomQVHMefihRfp1Vef9xAJhyQP5ySvMN
f9WZEhULTYZa1qIhJ+zkn+1h1r/aD73YehKTO4uDlYEZQyTvDwwc2PcJOjLOWSYRLGshvtvaSxV/
Vz3qBliHrV2eIRwCyxw9/TzW/P+t7tzYWnmDy3Fru/F93vcv0G03UDSmncySp7K1dlRh90bpMkOB
dSedZ43dDc75LlwcwscsRITMxYCEx/0jQIpPhAk10OrUfNM0Wof2oH7GxxXYln6yEC4UWvO6UBVr
YnnSTaXZFFN3TKySwYhwNtmS7mVPhIsolyctdvZjgofazDrM4AlGmvKRQLKzJ5onJoMQPCz9XRnL
LxQqnzMNZYrZW9vWU7aLs9ymHk4lXtmO/OZ+MxLI5KadjRHBzUDTj4fuw2o5Ey5CAJvTKNtWUsjO
hfu5GZHI1WA4D0uPUhUQ6EmoebURo7KHf2r6Gk64fc9mtDKng87ue6zt+7Hu7+euaB9za37Na3Yu
duMe40T9ohbWicuu2NTqdAFRaPlj7CihJcp9NyiCrrk/maY80JFUHP8cyNp3pIUvcdQ/zq41Itfj
LF7c8SVTpefnjXGB1/ZmOPWwYYT6aC+MFUbVHFgER9tOYseYxwHj3TTvhQSw745hzSXaS35ncZyb
wTjHgr0IKN2hvWKS0JIwckS16yzstKeuQvKzmLXaHSoX/nTneFDw9E6g0a3U1gn11IyGUEpGZa/5
0IwH0Vl6F9iZCtZyMlBHbTiViarOiZaNE7r/2vQuRd809FDGtzJhtKJEbEAMk2GNrlf8t1ENxkV+
o5o1SZxv3ik21oQGEcwlUZuOhv8ptrJ7ZyFo1TGcq5IgXELSx/dQbb9Skqd8Mp9Ldxrx5gwPdZ8R
BMYoMTAb67uo5bs+T29L184+a6v/z955LEeOZNv2V9reHG3QYvAmECFIRjCoxQTGVNBaOICvvwtZ
isnMIq2spzXoSVsxEYEA3I+fs/fa95Gp8yho2kEesf1nnXreYvUKKP61QDfG06QykdOcbKfH7RNT
vH6jSXoOucp+QpiJnFbHnWRa4guzceHCk0RTWfQUBklne3LqRIc8AlJBgeGXUXQGWe+LPkH0Knhe
SpCg2XIOz2GbVvXVqEGsj7PprtZJUzeraJvHRPmgB2MUZj6ECFe2Bv+PrYiHaGmuCD71Zl3qLkT3
VBpGh7hRqs4RoC6rIyueXJkkDmYrEieT3JWkuPPydiLdVqyTsBhKB3KefRbH54tZHhdGYWBkvmFO
a71cH1sYLXPWfv53X/m+r6wwgL+v8ffl/It2y/o3f+wqivFfU7dMurN/0pb+aLcwHLEc+a+WCgv+
H7vKCmJi3o8Qn0fUYXLw166yUunR5//uhVgL8n8wAQFX8GZXYSrKVkJbh/41Bbr2xu+nxXmtRKPV
H4vMxKVd5VBsq4JD49Ws0lkhQ8uJw8XEjDjKcRlkYyYCQ+lVJUAUOQOZ1+eE5kFjJ818mVKwkMJn
D9SJpGZNZoNqxshjjbl1WeQkXdIYZ6gnhVStvhQ6VQmjwxz0kzUMTlv6Floh9LuGIbrJoyGRdi8Y
h1tIUb1JygoO8t/QGai32m3a1c4hbmRIrggs3UYI/a6pmKXbCPga4ByYM7O08JVGjOec1OaNaifl
0cqz4Zo5qvgk83bV+zGNo0+j3k4wYORi5cNUAaj+8JhK5COzfMc7U1eKjApdm68UUMr7bqjEISsp
1JV07H0gR98qYXerOF1tX5Dy8Eb2ujrgoDbUfWyk/S1mucLjDhqf7SV3tmOciwtUiXRTlmSbS7p2
bS8yamgtQmI+yLSjbQWxjtH30p6p0nxs5TaFlkKCsV4rADC7rlCEqyloMZax39GKZXyr1I7iO06s
PmtLvZziBewLks5B/ZQhbjgfGnjmM9OiR42ZOCu+qp7QSUT+YhfD5TBkn7ml5R5Sl3KjdAlbfCrL
9kEXieMamE+OM5IBIARGcjSSrts6aOeCdHHs49LQuCoaTJTOjM4i1qL5sw5H6cIQYXc/FGurxElB
5kqJeqDMyhfXjLtsQ/IWQ20mV1cK491NAljopCWYBPtBrs7h6Y3nXZedhTNUb84aRHcb8/RN6HG+
s+siOptofPPZUks6JMTLnxVJxz5ezXnOAIdI1mYmlL6OkJnpgqdoMnAMuovqhGd5K5n3gyM9VHKs
Xqh07y/5+OFGygr90FWqvunbVr4ElTPBWhbpPkrKMajo9R30rp6v4xZ8/dgJyFXJMAXgzEKiD7su
8v9dWb+vrPK73ROCg/r25T9e1fUMLZg1J/28//L//99vo+n1b/9YYdeGtsZolWKbNgr4llcdFBra
ugL05S8F+R8rrE0K9DqZxuoLbeUH/ZRF2wUZIRS837xj/6xuX8XyP9btnJxRafFvQq8lO5rP97qD
4hQWjnLsJ5e0OVTCSFtKrLMcmPxZiY6bzAJ6FXMaIX2cpAu7XOldBi52kcJPLmEmKX16O0X9eWZP
N6M8XcwhVips9NjfBe7+JVnOnKS/FwUTx0LbGwl1DwF6brOm9E0T6pDB9Kai2ScLIUIF8l0UXVBU
LGfatpr2TbOj3hPfUzsZBXt1Alu4XVnVi80YK01thD2oH1HmPM3gx9wu1+cAgWXhy219q5v4ZPRB
Uil5OCbXi+zNonf1COpSW4YPnPb9XsXJ33ZUR4n4ZA4ZI7ym8A3F+oy3I/FGM3k0m6mj3DL32mQj
T0H/K1XqoxnpW9uqlzVrYxMjeXG1rtip5miAEbF33UTS7ExJ4yLm/gSv6lPRT5fymtZMlNcT9OrE
K/Rsm2UTKJAIwvokWr8dUWzaUf0lYlDvT0r5WJMUTSoTYtdw6L+aobocu2x+SWojPEeXZqGFoq5G
zxtIpa1cq4jefTYIEhE4s2GomRg1iuxcMZqRzJ+xJeawantoA6O30PJYedrVJp812cuNaQkAyDA2
cxb6/ipwDXJSYPShCdrYWL38MAfT2uOHcFsOaOjNK6K05CQMSrlLzom9yrf2OueA0LLcY/OLSZHJ
QyrcHOaIWcAIW2ckVYshB5Wu+Th2RXHNYL05xWtr116bvM3a7h3Xxq/6vQcs6Xp6EX7vDEv0iId2
gfO8FHL4aSJ0hWa6ITX7UpWvmF8oQQyo406eufHb0FbNZ4lq+JtuE5dVrMm0op+HICOsFpIBQ5Q1
v3Zck2y7NjlXOvUA1IW7LoKGKWtH9K3ckYErNcOxjUnFDdd8XIuindE7419rTc/VidHV1zzdBoZM
aq0Ju+Q5hCFC+GxN3y3XHF5zTeRd9BVip5DSaxUrDON7dK+a3EC8X7N8SfWt1nxfdPXjvVPY9t5E
wOnGaw6wZJMIDJ7827RmBBd1Cs6E1OB/F/Pvi7lOXfn3ZfLNS9m//Md9aT+9/LILwx//sZojC1od
vZaG+AdMkkw/+o96GR+waaks5aoBu1RZF9I/VnPjv2sHnXUWjxHSoNdMU21lmpqyzUSTvgn/7D+p
l3/qwbBf0HyxacUAsGBK+uNarsVI+1n59GNcPC/dcZqeXt2W02+T9R/oG8rbepwvoYIoA9FlszkZ
1pvdYiDhhniFaTgOC1IT9C8zOpg8TK+pXL716GPatCWFQcdsqEjlHhXVrm1SpCeUhOaqsKmQ2pRW
u5OQ3qQE8lGsfJEAdKHTQ9XfTl63inWWOL9EKIl+Rxv7RruMilXXMyWcwbmJnhE3xbzRAGOyW8jG
foq78JswZEq3Ijb9uU+gcetJ/gX4FWvPAsJaZ7qH4zWSHlOswr6T6Z+HGCZSr4Btpb3RrPrVig6/
fWnVNEdyu310SPAJADKvxlVdnFK8gHiPKhr9rQaEvy3PxzZ5zlT1gm2curaYyTVCTpSX1a4s+4XK
uyGqLd+ilYU3wZRvIdpHkgWHD336VmTSJTjDili4ZdkMuu1HdX9joRCRyPfRGod2i7Qr6+Gsr+WK
7PL5asrADC1TSUZS6ys9I0/LegmVUbjYqOGCSf6QJS89giA6ZUguDHtHWuCltPDnJMNCTHrqsujM
GSyqYeNCL8k1aNXxkGuLb8L5aOtmZ84Nu4bu3KfJgp8ry09tiAGqW/CPJfJT3ai9N0spWYj6LfCr
bJXyZmBu9Rt0zHCWuwlTgJ3s55x8EiM1DIItza3cJMB1zex50J1AyK3Hb7HqHnvyT/DyTkwBHX18
0CvNI5TnaHbmU9cvl1miX8cFINBhncTo4yEW7b6aBWeq9IHwlQizjdiB97qAUHYDwJoRY5o/sHHd
0ywHlzJsqhbV72JspKl9NvWeBKOegA2te6r48kwjp600L1+y3ApmK/ba0EDsNV3UsIno3iGF1mkA
uWQK092zyBIyrWfegk2apE9RiEht6vD/SMPAY9N8m6t0ZwP70bX6eWjlJ0mSbzprhvVGI2mcHE82
8k9LFl5luDUw7EYXWdpmwB7rjDm9dRszJW/qIfaY3GDDLopPjlIQilHHY2Av2OLtqSvPEui0vlST
AGaYN6mjPw51B2RIRemC1Jq3JxU3skI6wlDbrtrg+jAaIHWSYlxPKOu8AZjt+YjO2SURsgucvKZ9
StZaIDpgyJRDQQIMFikG2R9NaH9qnR7pOoUsVpLaBLxTYGrvvGKWkPGCRkpwECYcZuCY+A63wtWy
GoW2tEbr5FXsY/ZtOTVKctAvhE+WfZhdV/YqIygGtLyYtQBjqW5PAExPhYRLvMPxAroYxB2HRrXp
doZtp0GUDBcm7QBEazUAqMXYhtPiBMukKi4Umjqo+tXwXiT5pUXeMsmmUncFaSBiJld/Npb5vg21
FysjYV5TDmmsFJ6jSBJtQukizPCHK7li4A0wJjTrVXHD0E3iVbXC/GHIymsxYqjBPgr/Cccb4Tpt
qvuoUUAj1OW51dCXRB3Kf7+aa7AQ1Rj+WaPOEJjtcm3F0OKDXvqLPJW2sREfiLV6yNrRY8p3Jhws
1eWUPespGrIOh4ywQ/Nc6ZlMhkBdPzFcU70FCwKopUYUt7SbxWYkBEmzKhBR5OV6JK9lwZIk7WGx
s6Om1rsMibLSEIa2uuKmAgfzIgyfJY+mcTiAFTXbfT6PdytHtVALxPTukCNzBG5HlVw4rDkDknSz
ei71XmL9lUDxxDIWQKAEXA5wT23ql5WWkwAM3nTc0a0Yt6VezFuW/vghbLiCOuS3ZQHjGCySczbM
bXqWp9GxhMDk5ZZm7/GAxq5eWbdGg7jRJbVkcQu1ayiew3CDJ+7WDOdbuzSWxyUsscsNVbcxBqZ8
FiFYPQfvbS2PhK/ODS5U/tDFNzk8tklub9YqCRV7gqEJp0C/08eSn1jUG80uaBAX1ZM51nuSoTaT
NQdDV5GsYZ1lzXwnx2kwJshdqzq+G3IVY0LjgBjEfltJaetXYc5xZEiFW8vyk8aU3NcmvXkczJrs
pYqmcRbzoMNlRlIaao/q5PQ3TIgnHPiS46WDPAfvb8+cMl8d5b6LG21m9Qq4yFVDtWqWXx/l1KIw
OS2l5bHHv0IpvzdMcSXabvP+ZdRfX4dZD9MeRk4/FQG9tdBoictjAeWuM9U7VqWTXRTPLJetK2aH
H2DOd+NUE+Ob7To1voCNiGiyPGelujBCWIVOdhWHmCBR/Gjx4GG+IfY4/FoNzB5nXgF9gWspf6QY
/OUnNyCsKmgoV7Xzj3fIKIYqYQhcHgVqlmi+lVOYT9UH4SAOyocffwekkLrGAX2drRk86D9eBUVC
TSdqGI91FIPzNPW9VrEwyGHDvjGO6Hak8VGq8+qqBEs4O/Je2AKBzFyzUGny1ZIWm5h03qsh1pyb
kl0Jfw3pbwrJOqAwPENNFyKmomOCb2MKUQMLlffGLIi7nx1kvGQKvmQ96uicBLdFNC7kQGCieZKB
udI+S626QQm7WvWIHpsJnfCqhrTImFxKtiJKm9iERqh+hWn9MtExHUhChmmaH0j0A2BnzbheFZEe
ZMbh7jIhp2TInmCKTi0sf9F9OCjFbSNI+XWU6MIo1lxes2aGzrmKICSvQbbmzqmVBbWsXtL+APC4
4HdWtPwilF8GDvaGtWddfLIlcgQtoexmRBY5DJGgrEtgdYwSNEnmQEXpMfGa+STOVf4kFbu2h3pX
KNPZII8vGS2Nz3NubGWTI72Vx8g7l5xjerOBpkeLQp2uC8YUwEQVZO3LdN5Y3eH914UJ7S+eh1Ug
w+MAXhGA7o/PQ6hJFfBLoz/iGXjRnK7wl3rMjyaKNpf19Jn5JaKHLvYUc2JImCPz1fDCWnzRMAYX
Cafk0EuAmRf1YFT2o6aXMdoFo9lgftb3haHiDUjAqI/2uKoEdZoQbOq+UJCv0pagHmEhIj0SC7zR
3EQF+eWkuVXsBgM4GQA/Zd1szGL53FbmC8IewxuVir5CQei3OlM7zwyjesU3q66h24CjuBXmY2qb
e0TNX4BGM5ASLAOYk8xyug0dRAuYiBqg+yb0ugUQyzCrN8Y4HrI0vqEZe02awNac+0c7y/Cpk+8X
0I1fs/CY6w0CB4BBv1oDXiqHKjuHKb1IPBOIb7QnRZMelXhEmdsvWhBb8mZcpAk9SRUoeruV5XRP
RytQwX6yG/lMb2WPEeS5BfhGKMgflByPUd7faqI+OvZE7PT8wvzvc6O1L6VlBsbM5wQ6yjThsoqn
C6s0NwLHQmyR4ZmUlqc6yVVWS9meOJOg6ubAzEMsVasu0ow4l/AyjpJzBZf0W2JJDNNm2dOHFKH4
wFS2i32VnhYa2Auzg/SrNfxKq4VAjxZPrBVqNsQXEqm0GSO3CpF+JCUnUvrcKCYJK5POC3bxWEQ7
W8mfxrrbEIBeOntd9xWFXTMPBRl4xOe1Re0PTCnIq5O2DD/OF4ThlsOUTyiRIKyCRXdRFewYtmsI
+4QNdxeVsFRFc1HaBlVvn0vE6mEFnHPrTI/Eeb2mqZImwG9TJ4oncPLHtThIHaeE3PRSOALVYK3p
syfTCCyAvcI+FtPGxKSh70JrfKhlxESFfDANXLyAKS4Aq4J6C0OaWepoeR2WGM9KIXyKESsVdcMO
Fk3nE7u7a0eqEKuiR24x/wUfoXywtX3wpr4VMaixM6dOnQ1Hk31/7A4FnpFpJChCXGbtQeHE8v7a
8CvR/KuVQXtznFbjuOR0wcpQVV8V68s4Xa9uxehR6Lv3L2Sse85PUnnyvPASoV7GAvjjGiQ67AHk
XE7HRZmjoE4ImUtC9dboomofVxLP3DQS1ZAASVJk5WA3aHvMFBf5khJ0jD2CX0aRviH4u5pKzYY7
PdzT/LskI/oGWwph6QAqO/VmijDJln20KfrkuUz1B4kR3nU0ZGNgxHG/LYzh3MD5TmERzApIK0q8
bdlr1oOjOjc1GZF0Us4Grd/T6D1fgD0btXMpsui8Zdu2yEzMVLycg7Ra9zwMiw9F3QZJHu5FjTU+
nyAGGMXLIs+Gl4voqZmcltA77LkqlogP7uqP/ZbfPQ+vbuobMTguYjDLAPaP9vQcL59m+4Poqo/+
/Tcbhyzl1MhgO4+JfVOnjttodx88Fu8/Feab568wi0zO1Gg+Guop0YGi9YEcz977F1nvws+Pnm2b
lKS42cw3j95kdSLuyP49Yv+FZ9CLgprkDrzGB7/G9ySvvy6EBMlhQAy9la0W/A6V6Y/P+JwmpYiW
GlOrq3xmU/Nv803oS8HoJt6DW7oPe2IILz5dJ158PwUv5Jp94o3udtr+/S/8S1/Kq9f6beSYMyYO
Y0uWkX4z+qDng+lm2BZX8cYJHMQQG2XLfd4oHgp6Nw4cvx4D/Vj+pnn4e6/T2u3763b8/HS+mZ3n
YYfBt+W+PyL6CKAmb5yT5V5iUo/97YPhXZh+sXWOQMB2MGd3t6Efbacd6567bCvH7XxaZ77j4zXe
ldvuMoZW7Ub+PXOBI1OUrbF39tW52LV3xebm/RuoffTgv6mgJbVLcojZPJdu5dab7mu9qW8Vv/FA
1/mxT+7GpjirtqfPF8GwNzwO7OkZYS9n6THy2Hxwa7lfQu/+/U/1BqX40w39LlZ4JTZOkmpsLZNP
Fe8dN/aWHWD/WzhiGdwk13RDl3B4l/nHsdmpzzTSgvevvz6+P/+ef71Hb1YblhqJ7KZ5OspLFVhC
nIN2OY4Moj/YlNZV5b3rvFl17MTWxnEhsJ6a2h3FZ3naCfPTrAH/Jaq63rz/rX79U//5rd4eJqWC
xd9o0uEYWxknv+s6uvrfLvDmzMfEjhDmggMUEUpqSh/Qsfz3r/DBD/NdpP7quYA8aZcAIedjVR+7
ItvU6uMy2B/8Kh/dpzeLW6fkJCpZaX+c1l9lyQmk+echgFj4gF7/vlBbbx6woVq6oewY1IpxAnSN
5mbyluL0/s364Omy3qxKZhhJM805doPJ9HQHzU7eo80H4UWIUCrU4xglH9y6X/4+hqOAYsMp4Kzj
l9d9ERxlWlgn/XDUi2+rSgVMY2Zu3/9av/x5Xl3jzUuTRw4K7VifjgY8T0m+KooPugofXeDNkrjA
B9PSqhmPMos2zegMWvH7X+H7/vjei79uKK+eY5BYNqwQnmPOBjhzo7Nxlx04InhnSGaC6BK11Af4
5dUk8u5as37rV5dU6P+h1orZox5pDJOn7h0iru2KF+Vi2Y/uaSGsiq3bCAoPUf+V5F6DMGVXPz01
J+2MUzvAh2Du3V3pxduPPt4vN/JXb4T59slJWoBUIS+dcrlu5JLbwU/bl4rnZlvdfyjdM9mdz7/J
n1aK2918LlzxweqlrsvTez/Km999lDozbpyZWsInUM0nC06F8nKe+9fO0bzQtoP/RFiYW9Kx3bTb
emt70gcr9EcfwVqHgq9+JOJgJL0UdX+UzisXBM7ipl+MDTkp58PXaYd//cLaSlvpG2ANb9pml5Gf
fn3/0fx+8HrnLlhvnpNs1EAWlzya7WbakMjnJmtVt8+823E/7fdkzLvLsS/cB6bqfrGpt9YJuJ4/
BPEepsjzRwT17weznz7PX6+78eaW2JLDbAgCxbEJ9K0JvcefNstmuUBD4H6O9uEm8+w9BB23upg8
6y6wqQ7IUNtmm5vEX4uE34uDf11s6wj670f3QI1g+n3pf9ZgrX/3x9ReZcouk2CHm9LkjLAKYP+c
2uuQqogixaOBSgst1J9Te11hNA/Zat0zEGApaxv8LxcbXgyVPF7+VawXnLb/gcr1x+0JbwgZXiAJ
bAUPPcN7jBg/vF79AJfNqgxxYg4UIbiar6vuo91pBZS/XkawRq/5XXjzaUiTeWq8WdsViZF1mnX1
SRNOioNHNzogmrGmluQ1rKl8flOZU3a1VIlpH+M4th7byFKzK1s2Zo/Uw0lFjVMTwVLhj50uUIEH
ppYwb1Jmd1g0b57zU2hIfl5J+7lzAM5VN71cYwWIlWBprOsp6XbhjLciph9UJrQTDb05w611KdnZ
p3zOXiSQkENd70HjPc5jqnhLEl9GfRfYak6MPXMdZWq/tYO1rRnoEG2lW9uk0QdPIv6TY7/YNSO2
B1Jg7uAyN1oHSK58jEx5L5OfgRi1Pmum8mveORAaGC/Spf8aMlqnH1XTupPpHTRdu4GoRPKLJXy7
RCvVilVub8mf1skrfgEEu3p5OyrRWaiqd+0UwzlI+oesoHyJZ/G5M/WzWW/LTZPWhzKeBDNUi1C/
JDS8sGpv2gQ4pKVXfRDN2qGISjK9O+0qF1CliKh6lFINjZRFSrVqAZBU+28AhmHjJWqF57c6lZV+
bolWD2qd+XqeNenOlOmd1yTW4LAeSkAqKqLVEZuJXi8PSlHtNX5Otxqka0NIJaO1/FYUDqGzdvYk
Na3uqpieHYR8x7wXihdL2RlCWHDqSsM4045QAn+m9tg4KPWSQqiePjWd5+TlQ7iAWw0bm8CjSDlr
bVgi/WhtmVR/psXEbjhjSbT0zzaRJL6dJt/swhq9CP02zVvnNmrMb3oiPMQBX9HWCk/p6CeqoMgV
dHZVVJxGtfukpCk5aesAUsvKPUOMwtfHfpPYJoMRDRWb3vUi0CWZeWU5nBDN3pE3Bpsy7wE1xS1d
4fgmmnrQKZxovDLUEFDTfBwji1xYfj/HTm9UEFLZiJprcsaHDBeem8zmtzR1ng2kv9A/VQ0ON3Zr
iZb8AbV460VpUnusK3fR3NyUuoE7PEOqklsEf1XkxCnT9Dym+dobb4bAFtwPTBJPmRnemiOEyDEt
v+qKMDeYHu6yKL/rklIFR4s8bIz6Q2FJ33rJfgJtqsPJiT1KJbq7U1g5C1hPE1hOr83ZvlZ5+unQ
tYyZa+6GszhKc2tEgumBSXO9dvLsLpM1Z28sU3oyNXHbNOpOWuqvBURy3Pkk5FX1F6XHlAg7JwqG
3k42mYBS1ybkrOg9XElMH515XzrBtJ3jOb0ogN0nknTdDqlToAZF7OGHBci3kT6zZE2V3zqE9HY5
+o+F5zfS6u1UaYiTjcKzWsoF6KE17ybKRk5NlfUY28bXRJ4al324Yf6nbAr69GNMBIytv6yZdIQr
ndE/fIqIV17XnOu2VALyBq4rRdsLsrGgfPqmFN2rGeoR20BqJ587IjrBjT/NRXxYun6DpcoDu/1l
GHGBxlbqZyiOAuCVXtYgcu1aiOU2Lq56PFogw9omY160LD7oAwH2gFFGaktuKEmXc9/eF7i8glDt
vkJj2KjN9CB1X42BJ3E0rY2mQ831QhhlheuEAlhbOsySFMjjbN1bRLxtm6ZVvTSakKfadV8fM017
LCpduiGoL7DGMkKTmbJuuVml18QSgk3e9nPVEskLz9TWivuMmWLbi0ch8vuukZ7kAnI5HKflxIbX
bNq8eWlUZR+32pcptC+bhYNXjqQebirqHKRRftIQ+iOlebIplsK51Qt7PkRFfJNE0adUJYVaZMhF
2mW2IBySxxWCkvD0Pn4qVX5FEd/SF0l9R5POhrF7HJRqubElQoVDCdEBtlqa+wl7D6Yq1oBByk2/
G+rlUupt6dZMNUINZ0cEUQvJnbe8ewidbvD13ip2vM223+S9r5sj0gKlF9tQhVKtkSe9FaUce2MO
RjHq8ehJOQp/gZx3DTM9oa+97vTYa0xlmwKawp8VEiOAamsxldvaqB5bZbqJjNbcO/rwWK3SL6Yv
4QfYo/V48KpKXDddjO74NU38K5Yhv9nZzXyoVVtthlOFA85U8AHfmnxqA70ynfFXdc/pt3/1tTbv
xyqCMkWFX0b6C+N/cOXK2wq566qpV0UnTnYYhNl9MzNCvv/fLrF+hFfnAJE3eS6GXJxqXkxM3G48
Puv1B72/X34Px4FSRm2FxePNRboYOTQsE3HS2tuG6lmCsr9//3v8/LNwq15d4k2fox8qO0KAJ066
fVM0m6WA3SkuS+slnT+40pvj7W8/yqsrrZ/k1R0jrNkozJ4v03BuU0rTi9WzoTgIhlfF2cJB6v0v
tn7wH583gDVgc3RA9hCY1lSZ15froxQdXa8IEL2PyjolM2+j+HwuHr9f5t+zhswN/fuzhv81/88R
ZfzXnw8b6x++OmwYHCRIM+Uho3nAUfXVYUOlxOcN1RznB4nwd2QGLA0ZdqDOT7h2xP84bCj/xTK9
Bu+aJpm4pGn8b4cNxWBCAixDdlAbfz8nvHoimQunXb6UGKuAR8tZQpZu5mnjR1IklrGfn0VchTA+
NAcpzE8iIQl5ISz1TJwMAyhoH8m2HhjLgAUKQWOlRhlpoRaE6L66pLtx0WT1naWiSSGbfPJEkfZB
1ioZClvD8ZHay56GrBeUDycK0rsfRUdEfWHHcGPXEIC4y29qLuipdX6qZGLgsPSxQzYqs3VpXAkJ
xQqYt8+bYvI4AQFEULrFZ7620ygrYfiMG5XYeUhLWEI6OBG1xfDStg5sEI7L13wEj1Hh7TVuNFW7
lorpKEnGEUns6MoCqLZpO/vWGY8iLEDZOcod5NAcSMZI1vnKJR3G/sqQlo3QhwfHbr+qkfUcFfNT
uxToQxmawxZkzE/euQn/ZsOga2c6YbvtkOV4WtveoS3YJbYeeTneWdqcn0rc6ZuxkGvfHGdkcSvj
QoKA5uIPxE3SL88KAZ6YPNJL3ca/gRCG/r3mN6sM11Lu2i46VMgCGfnO11YzbDEd7SIzktweWwYf
VCM6ty8JVFCNG2kGt1j06Awt59npi0AGLjg0mFm6Qcd9CAqdxjIKjS7dZtbwzSbh3pVN4yCNBPKR
61SuJ0xPAaGnisGbZuZQIlYoNJX81ORxutE00Ci426IojNxe0bfOyL2NVw6IZBqjX6OIxqlEgBry
0XKZfW3p7hOTzJ6ow6ys9flNJ4Y9qvGRyFv5M01mRF5ivs+TxNhO2nKpToTudHE6uu3SflFy9Ysq
cpjEk7KrcmdPKpcCoFhsibW4KjLbB2JkXlgaaZ9mXn5e0voxtpDpFGZ1Cxo4xdptZTsxaFvLQhmq
hRuo9Q4hicWE11IXcQA+pXkp0ypqN4stEUFvmAhxFXnKkLLPaht1O100pS9bYqPYYkXUt/j5clzV
6qx4cqgQeah9EbKzTwwFnUvVYvTO6vE+M7QVpC8UGSlYshJ/JyXxs5Tw3VrfKWRS9DIZHnbzAuD6
Wsmkr1QqmdugCK14GolOGLFtdb03OcKvREbkZ2EQAiHGC7uFF70Wb0aSQa0nLXWfD5F4MlOrC6ao
PkSJHHodLDKSmtxY7y5qQorHvtsJ0a8KTUTRTuqNqXxK2+qQmbyyWpmR1Gqc55K0X3K6pXEUxyh3
Z9JJxuSLKWaYCyLV3GlQruPe5KzQf81AXwMnIEjArB9FGxANto/19jzrSYE0kaal8jNIqsyDVdq5
c/6c6zej6Ih0GM7qKnJzCcM552t1I6+JHTosHQRDQtN3I6e5VolBOKPEQkJLzqWs0A+JRh2pK8HQ
UyX8UGpbVxf1dgBRMVfiqa3II0xm/b7vsZ3WUqo3t6uLKrJ1eAzV93PYqw3mF0Xd25EjBcSqGcYF
jZMafObb3lAH40APZ3M+CTCSrr4Nz6ab6gDvwJVeyoc6yPYU5G54Dp558NPtR5PsnwsKLu9Y7Dsk
vBjEGfxYUBCubYySOSyn0Xqpw73DANCZniVU9u9/z19dR5Wp+ZAAA42S39RJTs+elUzjclJALWG1
y/OvTrRf1WnvX+fn4vL7/aT/hYgFG8+bAqlp9NoYlFhGnHTempe1xsn+o0J89Ra9qcK4yKsv8+Yi
QyzLnZqtN23T3ZM3Fow7+Yvt2wS6HfBpR+51GxBLs1F3d0fbz93jeEg2910QBlfpmXB3eAAvep//
0K82/C+4f/8eqD+Xvyq8F/Ii8dOD5//OSH1VAuQD+MFylpUT2T3H8EoO5IPyEJ2pwpO8geb02ZOy
nbxjsxE7lIDFOVqvK0JNNsL9vY3+byG5spr/vpC8GYikan+uIte/+rOKpPuMh0zlN6I7zcv/qopU
/suhkugp/U9H8R9GM5g++JEcNlqw1ByfeM9+ryI1aA4g0mSZClPRQDT8oyoS+sIPDzlaG+pU1gas
bjSW6Sy/OaaNKtEkjeTMl4bpdBuUSmXQ6XJHUJLGrgBuJp0MtxkNSfKMsKwPQgw3cGi2hp3h32gX
MECxbFxMJQ2fMVUx+HT6GeUkDY9Z6zaqAgXZROy8m8amvlJ1vC2Yd5A+zpGx7dLq0VmU1JMM+XPZ
kISoxMtVkWBTCkWV440ZadpE1iXp5KNXViOG1trKvKSiKUZDEwdsEpVeWahXmSbl+7Eg2qcIjUBu
Y2NH9wqygRZ2ewUVqE18Q2mQHZVdwxP+KrLmpoJlUxerV1c2pX06SdNZ5OS5t/ROfSkP5jPrw7XT
8K+ESnbQbVn40Bb8biLRPRTOAWMvUq7/Y+88luO21i76Kv8LQAUc5Gk3OpPsbmZygpIYkHM8ePp/
Qb6WJVqWynNPbtUtmQQ74OALe+8l0sUY9Gc1me6zrrwjVOgQhc2zqqDELjP+2IlJa+7EFwaZApip
zcupdF4npnnM2hOYc6I/SBsevZ8OFWgLtl+hNa5d4b8kZMaRWlYQqdgQMVrBkSkf44g6056L5SjM
6tVgyi9TJK7IEuL/OOV1FAYp0TF65Zyar9gVZSawQPFkXqaiyK0Y7mHPxSNGTjacB5LyN5AmDp3m
Yoib3iaHJDrT7g85MQaM+EDiNA10gLxryqWRobQnkqDcugGOt0EYD2UHpGIGT3Aor/oZRdHINx/5
LbbCdilgVYDAfu9sEn3tGWPRzkALbUZbODAu/Fpa9LdgL8q4PIdwMJwZiKHNaIxwhmQwSgIvDDej
F+19DEejUwFqWBYRoU5KuGW1NmfkRgh7o9Os8zgED+0M5Wiz5hDMmI5+BnY4M7rDaUxQG0nQevYM
9rDTPFoVM+yjmHWF0cz/gAOSfAWCQAbxBwdV/wwLaaGGEMkaLFs4IvYMFGlGhRxxxYd506IoHtoE
DXxgEOEsOoCE2lR64wwoIXvjxp6RJRM5JnDVs8uWeMwl5G+s8eOkLKJq1uAaBhXVcLY0pnGIHBb5
mDkrs7EuMkts4R1D1Ajc45hjbk8VYS7tUNupAesfPCqkIQ/45ZFMHotR2dUFga4E2L5ACHmIYaiU
Esuj0Y0e0uQ3DqmrWgQZ6xDnqh9MdRU7To2vIO8vXEkoRqm/xnN+UFOGW53cvyF2ryCS3kA2iJfM
LZ/SqlUXjWIGa8eM43UZ1B38Q+a0RXUmFTGFE5m8xRP2SSn8zdQRSCdShXLdIMbVDaKbIgwIFIF+
tlLK5AHy+YNWh8BJe+NzrcbPuYV7iW6yXZQFoR0M+y6Z89zHtXLAMrZ33IwH3WiurLDc+zjq8VR0
yx6xMV4U5amtJAGKxUVRZ+kCsBVL48B+bCck3Umgu9u+tF2vydxsO2h88arGNY4iKRzFq8wpev36
NPjvsSjYSv7zY/HyLX8tXqKfJUTPP/jtySg+OYxQHAeXtfUHfuG7+cpsf6aoIZiUJDwqn/89Gckd
JcoIhairk/TG/IWi7Lsno/nXjvffLHKtubT7YQCnmjOjkcA9kKpMYT9sWe20DZxMBMpRU0DTtCjk
ISa/+UNIFICZWoQGqGtTi9e1DEjVIpuuvnbrTDkLe0bwIG3P7esgwPrPwEHqXtdo9YPvRLZ8MRWH
IN4QY68Q0tjEFWRTLM3TJmiYXTegKjYAJOsFAffOZmyjcdWXikuTIx7zMlFfgirNlpXAklWE5EAO
lCiLPuhJcSz4b3WbTR82vPoZyCPMlCB1vInh5X7I7X0cswYd9HpnhkTcNZ2y6UT3hYWwuuirOgRR
x9oqFRyWiryUAdLRzDZX9Fv9lZPTnmbQelcEyeqbWvI8kDnmnzoZ2bg6NIaSBYoTCGQtfl2uJn3w
RIudDEKCvgA9icHBMeWNpj1EgAs5QJKrqApCDy7nmfTpHEO2RkZFzBJ3iI5DVL400UCYIK2/0aZw
aXtzWNnOOG3Y6Eb73MbRSes87hLZqKvGrDAQ1X7NQ2FUobKWjljwsShHlqtyYRJEErdYktvI2Ffz
AyXpi/E8ObG9yZE0n8dePWIPDLduMrtMwbAT5jZN0RpXae6zqchZ/8UxZUztc8RNwp43aCNW78ax
5+40DCd74RLneoPFqtxAIi7VFV/sfJfXPUHSTRHtfUtxLiODzKkFsdz00/xwfqlVnX/WuvApDVmx
hbn1OahxPg1NKlh4uk+JBgPbb8t31c2yJY/Fi9QPWSjH8piqCT5tmb2Hk+lVetAeyQyQID8MiEO1
Q9Z3jv1B6a1d3Vf2XpilRjcvCYKd1UdZtjFC/setnaU2mggdDTkIl7jXcuAPaEU3hz32POIve7NU
9pKhkIahSWcSOGsOalXOT6DR1JcCM7pXxml7ATpS9Tq+aMe+YCNaV2Z1sIyCOURBZgA7eLZuU7ch
D+yZzFwPW6zGBmJs9sOY6WTPBtraNHznKgHHoGTuK6CiCyvOzkXX3fmKftmUtugWQimvJLLiHXwH
+MfFtFVMPHNZa6ZYAX1/5ThvrTIeotQ+4H27kCGB6HYcghPC41NMa17z0ZE5ljYCFnrlQNd6kYVO
sIw607/MnZIgWnBH6y4MbkI5Bkgl0l0do6Or+JCc0N6X86hQAR65EInzOSAUj+yw6Dj2Batn7IAL
pe2zpeNWmMHSHY3xyiE6NKudxVAk+PScd4tMGoq9dT3Za9ZrQBwb+kShXpcwQ8Iy3tlklLkDQ1SC
bxdha4aLYUzvHNLchdHdsXqGlQmv1Tr6cDL2gCvey0q7Zja7s9m3QUxbWS08FTUcD1i9ljgWP4eW
vrHqfkW0I/tPkwoRP7RTiFc34R7O0pntJa8NIn29rCovZTURVGUsSz7jLO5I0KTaCBhF9pOKR93P
XiYpb6k+eGIn8Q6/8WkqxmM2J2PGqKfGYgt0dclBiofbREyZj1cSkIaY5C73Z9g3Y99JoUpItnAE
lsShbK1mXNMOzDSn6MVyMDcqZAF37jIJcfaXxTEvVYjMarFBcAjItgtOgiov6oPtSCA7ocAXfS/X
Mo0+V51gyDYuK24R+p8lPiOPof3Sb9O3On0r8K2OLeYyB6C0ilBgyB/NyvYaYl40g2u0Na4WcWQ3
cNO01togD8gMxmtjdG/TeCIpIk3JQhjUTUbmoQvSazGzE2my1lQp77KK4FmEa8nWvAkdz3KAiwVN
uNM1uWW/86hq7X4ynRtq2UcnbK6DXp677DWX5Vulsl4kvIk6P1pHFsp5X3pJYBATLVnBh2cclJdF
r1+DLXnXlHZGdDC9JqVYVbeK22+dRlmrYXoTm8VFS7RnzV9qs5FdWGY521YPjdqtuRWvGtdZa3qz
133JBSHDl7xhFJoe1I2cID3xMnTFI7/KWI+k+TDtJZqe9EfPDoelzIfPTd7Q3SiHtC12Ezy6gvSF
RV8nrC15SISlXy3dEIx8Z9kb0fYPuNefW1AtsrR3ts0uOgQzRs26xam2I/cTN6Ppbgi8Y1KoPhR1
fF0o2sY3xnXkd7x37gq93tZuTb6d9obAq3NepIeS2W6vdDdpZG+d0T/6+rTDvr7vfe0yhA9C98Je
PJWn0ld33GBoOZxzXLsXujY+lcj+ZK12+AGdO7+2zk3dHPPGvO7GQF0QkHfTMZjtS0jEc8Obm+lF
agbEtVUqyMHgsp4Pqql4lEl7ECTdliWClnbARYcAd5iLnvzgl/ldXcq9JsjYFEZ4VHxyjwIZMexu
DPTZot3XqoqVk9xRiMWKEr+GgXUXtxkufxQTC9dun2agjDCIYyiCFbDUVytjqNpWj0kd7lgsHzlv
I5pfkiiG5kBBy30Jlm05qdpTaDbl2tWT24ymaFGN5FXp2gmcQrxK0BDlBLqsWX5v/cRaDkLJVhFh
I31DBxgMwVKTwkvSGO9XfhoDaxP7I3Gf8rVUypXSxJ/b2kSgAjmOHHZagN5edV2wqkkrXypUCEnb
LTMAoh7ctG2vOK+4p9ck/23IhFwjFlnlBcPlrIlxpozTeszyg2yxirXmbcH0mqiPcpmjG2ujZKmE
RHLnAkGMismMiIFaK3ap0l5OyvDU1OVL59SrICbtyU/Hy97o6mWm8vj7rqT9yUT3bxNIKkRmNJZt
YEJ3AWv+OFFth7quuyhXjmq2jbBjFsm1Ev4Oc/S3Cd/XixAFoOpEvOhiHrd+N+GLlIzFi6Epx5Hw
jmEzdE9j8R7AuQA19+uX87OCd7Z1/XmlD4Pbwi+kNvlcSSAaNGZ0MGK/aVdY93H3HNGG//pyP333
uJvwMTL8Ir3rxxcmnALaZFoEp155brtDFbzk6cuvL/GzV0S1TLHMZZiYfbiEj5tZdWUZnlC2xcOm
k3KVhvTnwSYiwVK0v5GI/OQVGVjChQMK1RCa9aFj6HOrEVJto1OUBwuswLAwN2Xym9fE8vhjW/LD
ReZ//+770PhKa1o+F4nZaLT1Bcnv3q/ftd+9jPnfv7tC305tX5OSeKrLS2sGhhKGb0e/uQjj0F++
jA8fTZnMm6+siU6joi9Cc+lGJ4NUIdd+MiNs1UfRNb+54s9eFhsJVdiMMU1LFz++rATaXpRD6D7Z
1Rl4C7DNne2///u3jigKAp/ZkyPi+fDW+aauWDA+4xMJAKvM8mxClIb07tcX+dlbB+XQRRqi6RBK
P1ykGELbjiLkf3X5lFsXKH45bENUaTcx2d89hgv/N8aF+Tv1oRXmiPvrih8+LNDqbl1qMj6po4KV
+gFYxW8Ogw9+lVk4jdAC9bYAJjLrGT4cPk1hhEk4atkpvqh3aD2XML+W5so8h9fmEh3s+vdeiJ99
Ib5/VR8uScowefFlH596ixUtTiXhcigU219/Wj9/7xCJqLNsDFbdj187awKP1WZqfPIrdym0wzzI
+/UV5nf/46fDdoFvmwu4DQDAj1coG4Fuu1Hik03rKx1BtfkcGazL4/g3r+Vn79j3V/pwwNERF7Vm
W/FJM99C52z6N9X0m+Pt55dgScKqkjvpo28t0pLeMaYgOeX50ewgfBC6KDrrN4+6n91CfNm+XeXD
R5/UfdjKgKtEyUuqbEn1WNUG6UTdEjyAkmxS8zef0d9eFihOQGNodHgUEVjzoVQgBdguM7tIT22/
qernwVpV0/WvvwZ/+6J9uMTsGvju2M6RQOvYi9LTMKGYUQJPxv9DevyjDfnnl9Ax2bHddZmz/XiJ
eBwzJaXTOjXpizLt4Bf85nP521eZ10DcODIik8Gb+LjO5OgkHybHp0idl3XmMox3UUxh6r59fa/+
m8rOstR/nspu0rc8//uucv6hbxNZ7RM0BNaVxB4Bd5plh98msuITbnzGrdw5GBZmWdtfu0rA8MB1
Ccz8X/Llt4ksa0ziJfk3gQ50vuX+jeIN/scPhx27SqKqHJWdKLQTcp8+QqJy2dhi7Bz3KDLwC7HJ
loVo4Rn7rSt5KGhOssZ/dmcyONHEQMKzmRc+EcVhxe5FnbvJkoXcl6Qq9jTlCxZKwVoaRkEupJ6O
MyKdpnEk4a3r3XPiDO9MOCI2YM5ntxMI3QUCpcgLzGqjBhj0cv1qLJWtEqVfzJpBy7x3COLhnIhZ
RdbW4Hisra2Krco0cKETOhe5BHFEMZ57zb0Sk+pFAgkxOYkpIE+5lVpfA5bVvsSZthhZuu5qx34s
Dfgh9fAC9/YSaHtK7BSv7cklBYe9C64Es3irpTO3Zyo7EGZFoKqr46Qoa4Q1+VL02pYp86FP2KEO
LYYFdqU1GnCGk6ru8GqJf/aaYnrImv7SmbTZBoAxtU6MGkIHFZohNrHeBes6wZqiYSeCb6F9dhIU
PIi02fsRC6gV3VM2+s8kOd+EeXEcJcJ2hV3sOmsEzZua7waCghduxPhTQ6PkqcOs586cYkMqIjNy
hfEm02BESPKcmcmuCYjDAa39KjN4KiqSrEVd+PdOiq6H3PfPuehgJGraeyuUvdZ3uwE+FKml7I7d
FldGY+dbd+gGdkEa9A9DIfjOai8IwnzLlHx45PMEO/M8ZdYl1ScS9BS5bbxXLf9maOJ2WQ8k2JPE
41aE+Ii8m+A7JiBRypQsRIsVVeJWmLgJuEobx2A93oebiGUaqMGgci8FJPI9HOF+I8Kk2PG+MBE2
5uFw6DvujZ/4zLRSqRECWhWTte1N1gFlbRqplzJ32GhytrTYeS0u7DTtHpzCcjB7JOrjf8fh16zg
WXz0z8fhKv0/r6g/v/6EqzH/4J9HIjnBDl5DlRMPMQYrqe+ORO0TjHBWUfTlWNLn0/KvIxF1hvHt
RPxxSYUWDIGBqXGSWfgO/82RyNPx45Ho8HsozlX6AdgfGn/E9w/+KvBHU9H65qgaxf2QS7SFeuUp
yJaZwDb1SZn8AESkVTyaBtt410wZothI/p1sIqNX6XPwnLJj2YG+TvWNB+5om/Bfh0hEys71ZDCL
yqIJjwnblWVrdMWq8l1UBE0zXMTxdNO1aDH10Qn3VmnfuTiRUATma2siWhI83B5BabCtdRtO0vjg
DxbDwbi8qYt55atE7lZTaf4NRIy6elCy7gpOAiqJAJQ0JAptLU1cM4RmXqRDtJEVIlEIpIdYpk9+
K/atVTaHcJak9EG6xoZG7zDgRbJG84tFuvyWHFKCYkdTrt1ifLMK6w0gbew1oYuOo+ov3VF/zEWR
71ExFAtotZ9FH55DBCsAO8oXN8+OCbl8JGnYDJ6sorgfY3KXkI1tEs0vNmZpfebcXQdFes58WDmT
mb1ZqbYaianXirTcQCZ6pTi/Hoii2hIV7yyy3mR6ByfCiyPFWnXKCKVv0IHkifvIdwDHQphmxvA1
xbgg043dAsTVDem4MDraZ4AcDPD0ttl0ZO9PIBKR6UgORqLBTmND3nnZjlO2SJEzuhehUr5PXUh6
L1bMVRODRSpGzmZjSsdNFjEirKLY3ZWVZKqciDstYkpSSgQZwgEWFST606QyWMb65Ha3nZUGVy0C
i/2EQ8ld4THc8gBaDbF6rRWFiUDUiRd5hI4zUaP7aDBLsu/YLekzvRYpD89aqxw9s2BvqSjFKWBd
s7CaYEO49q2twBwY4vq16xC1p9be6HLeYhgAfjw+lGb0auvZha8wb8u1imaXkMCFrXSfjayRy9jQ
nxSRPiONJu01sDfSNUidCeOtUIMbrLmNN3YsNITOkTs5a5knHrAwj93eBdiXS61TUJpLeZNN+Tuc
LmfVd47FxFz2yzIJTLLg4hcS7B5NYa5lOF6nYXshe+XWVMLnFqkjAm+ynTrlQErvlar7d2MeH+SA
EqHyxX2Q6WQb1P6tP9qHNuYdKkUAIL1Ec5w47hUjzSffHu6Qg02LNEBuMSrskexI/cJa+HqoCcUp
67Xw3WDh2P1x0IxrXfJaMj861422sxyCOBxQYUhjOouMN8VkwNzez1JzmIBXvWEew2ja6nXG7DRC
rN7IR/Z+ziYOFCBoEblOHHPlIqgUQAyyQPc09oATovqxbrK97hKnpwOaUaf7Lg/JDiMOdVnpw47H
VkR/W6iLUkmvmwjRiZ65WzshAnGyHOb+MV7NCPQxaplmBZ4iW+N+3E6GiBaIpOJdbpfLsdHWjsBd
OZ+4nFJasUqM/lR0qMcFqpN1x4IkUCWmWLXaqrwFnElnXVqXcee+mIhnGFtad8IyLnWjisnjldqi
ZwSIqZUjrg4n/JjqjXDzdWqHtPszyLahGHQ1M91mvU7OZksCY9ZaS4vvWzcFN5pqfLGzNPcC4Vzi
K/U3QUBhhffiGshpvagClnlS2F8EKNKVlqdsUa0SLDwxj1nEkJqTdJ1E3XvdTsxoqongwVq7zaMe
pZxmRy9lqKCP60G+NJwRUfQwhP2xdsNtZjrvE/LlVZv7qFhKdZmwktOWUWMq7gLPQ/aQBYodXE7k
frF77IsVtfvBdOpbV6IHqjMbuMJUPEP+cTEZ9/qiTaZHv3fxE/XNF6sFmjd1NaO39CoMtKNu+s9j
071rHfnCel7v00ms2DlBoGzNc5dMlzhyWSCpdcHrr1ZOOl6o2NEXdUd2EhokFRV2d6uP6haQ9T4t
4nuoRQURLY7NXzM9Au28bCp5n5nDmVjuE98H3oSxu8sS7WoyoVW0qIIWPRDszoYvOOfs5rq80qxm
r47xwVDHu5wFtW+YJytovNI1cggb3NUEUxMKaiGpNw0echZzgygmyC5X0f1wxnroCbZ5lW/ruIUB
lzUcOxYCI0tHG6D52HI1Ypstdq7T5Kg7JRl2eWyFXh3RGyBeEDvKyoh9X9ytCr0k60ato8WAtZ11
BRYPwUT5v6rsj6qMCuWfq7J1/db8TDek8lPfSjLnE8MhTHEUZf+DMHzrUtVPLrGI9KF/xjl8K8ns
T8Q72MB7vlqvvlZrf+qGzE+YvHBamjbQBRa7/wrdYCPA/X4kR5fqCkRDJE7YGkF2ED5/LMkSAGQu
wHf7ykfWELRVn1+2g5CEamZ9WRag/bpp4wwNwethFoz3hRuq0itYnhHMH4dPo97cZGElvZCgFBq2
bgPCxMNDgatEzQVmaARIhRt/wbIecaOy8ZMKhvJ8Mq8QG7d4XJSnYsiu8yx5YHmrJefWLsObJIno
h8ZFbvvzUh3cphopCC1yZ0DgW63QLwVPsmzDk++HkXUKU2mfzBze2NIY/ElfWGStFp7pZ2p+a9mK
vvY5p4ZVM2o+9GSlCaP7jgdxv0qT4SERbqjjvyq2URjHkkdwfTnExn7ozGszMKTn2/m9OqW3nUGL
WYTlC9S0DGUUiqR2ipb1nL4PdSzMyUiuFePK6sSDNY73HQbupU5BqPSKp2QcAUE0h6mXpHU7ctAW
TW4bc1TAg/B1B49P8iwC84Z2/kgLZnroRl4R5txmnfGmGnG0ajLeFNNpzzZx99zPKBcHfj9T4TJ5
lnrAc3KItiq4e6+abVJZ6txWqSbWRZ7kQGHmQPVYbEMoa3nf1142RAQ1YFE2s9Be5LU9LRo1yVck
rqYcHHKvl+Lsiy5bTnoIVcYQ2yLBJCQcUlZdOYqd7ImvVzr1VS1cz+mabKn4JimydrPJcvcz6bEH
SIDQ4d16GTn0tfrkojKlvXfDhjW98mq60zpVx13pl1dMIUpyWWuvrGkziWkjKhGSXFugW7Kigc28
kr0MoTuC6kEA4ZqoCdzehkZH6c/X62xoVbtoneKqNWOFutE/pS4WuKDAVRZq136JNrzjibpQx9pc
xmbfLPm+eSHu7A7jOeradt/yCbZNtzarMNqMJltbS62K1ZQTe9zL41iZD1rTXrltdItQC9G02txn
QXgdGmHklSp862CWaFutvujD+lra/i0s8PNUkQJAPHLpSW0IGC5EAEZr/9QhzJWpD9NuVF7qSgk9
1SiTjTR5SE2amy6HDqZTYDZwn1Tidg057YvSPsYzvq9wSLAouxzNS4/yrDKGCzPRXtM02kedk3p1
E11acQkOSrUPkNm1jYoSZCEDtD7cAJ6hxShZywHqXHt0a+OxV0K0LXyzFrHM8A53+nsmO3Lly+K6
m8plC8Zj4p1Z2PY4LYy8mJZt0t8JhrlbxeDb6c8lXZNGb6kUEw9H+9EczBuB/2zXF5jm01rsaBMJ
rnccItoVgcYeg5+aGcZ6qOJjFFjkKSTXWdpfAS5XGDnZGoV2sooy9ySCnNTolH5iKAdchfUoF1Vu
3Q4acC21Vt99YTyrevqi6uauGnSe80FLP6GIN6NR7pvYdpdZlt1nQyvQvHU3UrbaJrKyp0IaSI8K
aaK9lmSH7m1jtM567JS2FzVIWWRYfdEHUkeESda8YpMvbVaXFpKB1ZTQXfXTl1oXT5Xj6ltXzTFz
uvZp6noYvC2SGqO2qM8NamAkJi++ROqv2i3zJzLTHeQByHoKUm3sBOlyqD/DOLhps9aBTOJAZu/8
was77H9xWWIiiFRCGEtqTlN/6ycJg9WksoxF7/V+YW+TJCcNAnjrgsgopJEqHdtgDC/YIok0awx9
q/qDeRWNJiFWTUUAuCJCTxfV9cBueC8du11pU49sIx/5nKJ1G5CZEJkxwQlxWBITMuxk5j+jkSKa
SzGArdt2sBh1vq1lHb9Ydk4X5sfTysz9dWDokozuutoVpbFOQrK1Q9tK1w7c8AXn4bTJ4+q5JgAj
J6MjGPxNQcl+DpXIIvYZzqJsBnWB/dNdj0pO6qUp/bOFvWBtV9quCvQLkGnBus1iZ0OfHHgDk9ml
30u5D7vuNanUeB0SVbMXpR4vzXKCxTUG+TbM8+luGjI+m0Eqa9PBxapQ3C8CkXEitv1Oz3ymhZoD
zMHsD0Hq7n13OijRlOFKoL/xk+lcZ2SYhjb5E7Z1MTV0emE3zc5b9DtdeJujH+OBqKXrUqcO60Kl
RmvTvpAN3y8y5Fqb0cF8LDXSuR0xMW9Mw1Mb4ZX2mbkmRdQj0ZkOeutf+KnuJdV06qGgrfQYDLxg
RrGI7PrKNeMXJ8++pI3PQMJ2aVMtxUR/b+4L3ZEruGBYBslEWajqcK91yeciUU5pHd0kgVIsUTFb
q7jWrEVtlG/pZL8HmQrtUTca6kqDXxmJ3BtSSDzoPBZ9F135blesdU3tvaGqEUX5ySEnYnsbj3Fw
jwLRiwb/CdwKrQu3rp2Sgpi1T+ydF2bYXpVfnaxt9gIM1F1pLoNQN0vvEc/j047wqQpFOaPbUz0y
Ni41qHOLokgOaU0lYvBMNZWeA0zT3kan2dqdf+GAw0TbLPfM0l2vShRG7vlDJuurMcfoY8kMG0EM
otmv91WjHfBhvCql8z6MtI8WE5S8Yr3WxG8Yt9ewTNtNY5erpuRfh0K5V2P1YgoOGSHrdWcjykoY
s8dfwobDt1cYZdf2rosg85gtwszGqvdTM9C5JXw8GZ16zOhnnPg+k39NWywAWQOFXmBhv4nigP+Y
A7zPtIuonomwasE8httuQ+X2TAW2i8ZiXVHp4De2kOFB1e7K6GhVDuPj4QFJ3GEsRxwufnxImFpt
9Kx9MQL3IbD9nDVCdaXa2WkuYjSdB56bB8CVNTiBDluBJLqrh4F2tFFJNCmrUxm5F9ghcMBb1XWn
sKu1WV/g6M42XTHSl4qZsj5kAANA/TRZFqB249bJJ8zZes1Ioq94aQ5x+CF1J86XCEigPlcP9c7W
w/0g43fIPtE6GJyj1OJNMW0aN/GEg1g797TxwlGS2zDtsesbBohYx9zEMdxdaVPI6NMX3UFtPQRf
HCu6wORUU3KoIR9W9bkoBJJWMcQmD+K+PnD73AaSsRr9271W2kzVEW039crZ6kG6FQU+rDbxfEcv
z7lVZ3Kp5pE1rCLEa8pD2BcFfF3ATvUev/aA6jca4B2si7RX5Fny6eSqGSme4eP8DSbE3p7jJntk
lvwVCVk/9JybySU8tYbkqthx6eWJMqwjo/AMaB2e3xePJOAzrnfQQ4CW0lapiO/0Or8ZYMWuceK+
V3H9AI0HwASFl+JHRCqb7i60jc9sWU5j5KLEtokgC6M2W1J3NUvwBuAeh15bKAxGeJyQbZSoPNgQ
71l8fvNnR23euRLmYnhR1YBC0tLwEJhe9W10BNV1MaM74UPEnzU46DhPLrRJUt0U5ReeLXIxW8+S
3CE+CpU6YNq3yQeGM8VIU2XvQLzpTpU1QSMPp81IK7Ggrhk8y89f6yHbsv9lB6Eibq7wDRlVei3I
as9bcrrMrBi2nLsXLtA2W5LPk5tNs+167uhYcEGzxt5qIBFtYFHVDaFZUxlvSkG162rJc1Kh/A2P
CXCrGAzEMOo7s2508ragmcBWZETZHjMzfi0l5JFAk8tBRldFoF6ZrlyneX9loKJlVKdMlVfXCoGk
avGQDMGuDaOn1m7vSrdAyEJAvVNvRsue0+eX1L2IhcVzVGpbt1E4GbNgR3rRtIu79Jk/8C6cW3ub
WnAVtiXQykx5NggIfsimHtpPFR9GNi9e08cFkMiJtBYp5iShx7JX8Zwn52HIPyelUyNzBGEl3acU
tWykhw/ZwAz0v4b+a0M/e2P+uaE/vNU/WTrPP/Otnbc/WQgPUWXZnFzEXXy3YVE/kXCiGSZ9uYWu
jk77zw2LCdN8DlokCZi0JAQJf9mADMjlTAFUGyUBmiJW1f/CCvQ18/kvgc3czZP5hMATjSK6B7Tb
P3bztlYGKqZUmC+NzUybWSjTVxh1Hk4bd2P3zufGD4Z1VZqkRMgpNpR91jgd5aMdifgpEpSZx9Av
umrHlrHM8PfHg7piNtvZp5L4uuFEJOtVqSfRLc8FxluhjiEgbqbm7JCm8ayn5nSWuUROCEJFWwVk
XIFrQ/QcecKYwnXLKgbz5QwC2hm+kjFq1Vo7bZ5AKMYc0yNzPB4xemc1EYbcfIy0fZYNU3ETTBKg
SFT5MRF0ZFtsXD1gJ23zLBv71vLqYog3SiKr1VD52qZPLG01jNW0UROrvp/6sNNAk0lrWulNB1pG
CncaV2nHQ+6ytH2FI9goFWrycrIuO9mEhVeKwrqJLAvbBlUhDz2W+hutDJP2hiBkFgqWUabHUVih
2FQ2/18GTfE4DQbyrJJha4wzKizsHQ24rq7+u0W/3qI6Upt/vkWhpv7fGiDOS9S8/GQbOv/wn/eq
EJ9YgdqOoZr2vPPkrvs2etMhXXMHQyud78fvt6H2J5Afc4TQXz/15+iNe9/VmeWppAv94XP/F/fq
3+QhXB4BIfqh+ZfOq9UfdqFmCkQ+9uvpOLUPleOTLNj+cYj/owbqbxIlfqvKyWLhSRRcYv4LvpNZ
TaXP7qrUtSP2X/xPOI9xspmI2bfffQCnP46X7zPgfnwlbEQ/XGfe+n53HQwPZVUTFHM0yx7BxcVg
v/76AuLHvfHfr/BBBBdoFfKJkFciRnvRG3e2+14AhHYVCpV+pQt12fRPZbftolNbYMeO3uJwHWC1
Kc5tfhMM5aLF2MUe8//ZO6/dSK42y77Kj74PIbwBpuciIyMtyaRnsW4CtOG9OxFPP+tQf0lVlGuh
e4AZQHcqscgkWZHnfGbvtV1cIpF5NaQ3E1hAgbH2z79T7cdx6m+/UybB3/8ujEQJEdvL34URhDS3
Tf0wsJQiiO00YVALwwyUy7vDzKPhPylf/0K998ES+fUG+PkboB+1GClj6Ads8uM3UMKY60fVmU/s
TzGCakhwzjJTN0hPrc2mlhCqcthjoz60EE+sYbrWclrIqaTjGFVlIWiL0Y5es8ai55cRkf3QbvPi
i14YB7YmFFK6kmp3wigAv2ReSgeCR7RM06C12309zCt9bMBAzbB55m28nEgyDwrM5VWjsOhbtq3w
Lgus9Eu6CYcvXZhjM7rtIvcclBIyHsrTkm+AhsyAA+KQmzZTNGdYK2oSq2z8qkvDMItKeNCGM0ct
AhkU1Xzp0mI1o9BuppIAS/MqTc9TUWxH9uV3hZWvavKwg8q77U17baI3TEcRwRqKzLWZNO5adQsz
qLL8sSeVqCiWduWRGChdTH9B1P+QHv76L8Qd/eMb3/z0dpkSD72O6JaTujV24X456x+MrbtvT0SE
nfU7os4Cd+35JA1DwD+welyLR2WfbfqturVhtqR/kRQn3zy/fj+/fWSpdr5/ZE3kOk4hH9kq24Oy
ILC3hYW/wS305+8N+ej/2et8OvCYl4NginkdYMD5rXhtpH/RN3V6gr94E2jyIf/8Ut+/CT4JTEHA
5q3hJfopNnwQCRDDhE8lNHVB6vnRiVnSn/9ov3cCavDXEKBRezF0/vFXSKCRcJzc0E9I0eiCn0fl
8s9f4PcOwO9f4NPvjpbUQTWr66duXA/E9k2K3xF/9997kU+nrCc8e0GUrZ+88bg0qFVuybH/85f4
vSvp+5/j0/E4c1e3+IX1k0z7E/m0Uu1rL73wENF8vND/tGz2PCFcsKve+/8lv/JLRcuXRHH/v3/8
Y/fzn6O3av3UP/3wB1rSpMfoiGbx+q1jpfStIpB/87/6wX+9fXyVW6yS//kfT6+YO5gn923y0utU
Mx8f27/+539oP3cwPBt/XB6dPWVvv/8531VFBuJuhLMuAlVVZgx8VxXR0YDXAZ4o5V586FsH47GQ
5DJxsKTgD/gAA32rityfbPDutBsOPiImMX+LSm98yuaQx+NHRQR8kp8Xd8WnRwQ1BbVyU1qnbMyj
oxIVTXgjRFaSbKQn2XYyTUI8HUQiDahlNvD53mzZgMjQ5B0+7GpfzDqs00n16P9zV92IYU4J0bZA
sTNfcy1AcVOatBA2yoPipda5swCUE7m6sQtkM3B9N97ivlnpCEN4ZpkZhuaC2DOOYMxMx7TMN4qL
i4WGabjux26vj8L+muMVXHVp7AUT86xcrXYL7OlJj64brRzWqj0v604H21YW7a5ftAuv897YbV4l
hnsiR3mPJ+OG9dhWqbovSuTWR5z8xyaG7hibyZ6Y+C9gHnxXiW8K3bqLElesOI3ILc6M+kbrokcm
uHvDrYNUDR8Zwz/JgolRDObVrB8ngI4J37PpkIEHdLxtGYU5lXdsDOjjWasjjs0vGkZP0gt93hTg
TeL+1KMtAr5oMXuvgMJMuDbC+lA4meMXVb+zPC5O3PmepqOVXUqEYsyuHGrOteHMhyVUvrhtfDVP
mGbjPt0PEZ7LxumWwMNtW7lyRaKF7JpBFehT85jRN2YV42jLaJdNNOdAFuv4pSuI9ZxrzVqX2rxF
h3cg+MbYFq5+UdZcIFOfk87VtgBxYjMw2vfBntWdndleEEYNMx7LXtPNv+PcZzTkeacmH5oVmdW4
cJ3m1m1d9rOkiKKdu8qBI3pjO67MsfLTvnZ8KypJe1Wj+etcLgc3Ml8dqzNkrraHZm55NNv6wI74
q1CXqwa69Nhqj1PN2qDt43f4n6zopgxNS5deFM68yzqM1a2pETs0TEyv4RIRkQ4+qI42qT68zDHz
VvhcG2fMXmaa/YrZslRSJXb3POLdOROWhda2kLLbHuYcWA0pxuXnZ1/6odANrQS17ojsnPi1D+JD
wWmwxm8GB6KRSIhM/sYXFMKrJAT6xhG08T4wEqEkSrDbj3czkImFN8PVLLkTmeIigzFhUYhJPxhG
aviMl1eG5FUsklyRRvCtMDFWgcHTtqKKBHGRaTMqYsm9ACsPAaOBK+FKKoYj+RiM+XtyGtiEquO4
mdgFuGp0Yn0DFRu8hjE0Jbmh3hVC+mjd5elFY9dYn7SHSbI5Wk3JHksNeKPeIJHBGb3WJMvD7Xkg
W9vImKiSKmei3BOS/WFovGddyQMpdE/B7wYjRJuIS2btCF8SfogDSCQDKJJJssggGSNDjjpTT7rn
FvyIxiZ8NQIkgfljkGThHhSX0EhNUkuqD34JyQ1fdSYtK3QIUzBIzgm1JcWxZJ8kRVtviF9mkd4v
pL5q+pe0KMKN1/F3J8lPKRconVlGbnBVSM6KkqpMMZpqpUn2ShLapB6b4bHx4m0+TRcJ7yh/gm2b
eu1VPPFTqwr5OFF1BOKyTQogUZXHlDRd2nPD8IitjNlsGe7AvxBBXmwwNgg45k1RkhFoJaSqy9Uo
6+SjGw0US7W6TazskSH6dlC6myUbRwiJqPFioJillp13Q4sjYShinwXUNqzrnT10GH7DeG1xeaxR
1/GGBWSvn7uiuMUvnZ958XhZ8htdVSY6r6JCrRoh3rTS/mG2S+Cv9XEI3TdR6RrxAMWhzyYRRJrY
0uXe/F8pEbZv1cVT8db9WBL8v1whmFQNf1whMEDpn/7lt8Py2zpBfuYvdYImr3xqAcb89ifgkQ7w
z8H7aKBrYn7CZ32rExxGLvZHZiGERxlG+euk08auo1pcYxoiBQw2f0tLTj34Q43PV/rw1liSTi1t
04b8+HdTBy9UIBOj/zwxIoTQNtuA8fRcX+eifEhaw0XB0iKvIYrSzzMHCo7V7xtLex8rleUHI8XD
lKPPKGJW6r067CIgBXC5LBZY7OWqkuDkIcqD1EmfpxCbhDYSfDKW0OzyfiwDB8UjWOPZu4yb4s5q
YYMgNkCgly1nhPLdRRE3ppo8hKlxW1DxnRyNsIeKHRKrVCcCCqYRK5HHD6EZkY/OMedmsNPFoL+R
mjNsIl2ZbsvG21F8HdNazBtVlMALBPXEdBIVnuBcaS5GYl0is9laagf71hJnhdPexKxIVu1cnXcW
cp6oN7aZ6sV+GHUvc4Jct4qikSyPufWNBIlo0tyYbD5iASDQM1s4iW2yH3Pnq6bFjk+ACOF4Dbu5
RTJSEGoMothBqdDWgsTodd4S12kt1yGblB3qfn41QzIe82TJVoUVXXh1ciDypVmneR4svfKapjnY
nqZxQOEk22mZEr8J8eQoI7EhGjt/GbKxGXL30ohKgIq95ufszVZ9b1yntXNdda848t+xmQTDzK8s
aeTqS+ue4gFodIcBnGqvBzrBwtGQ57Jh66R7kKc85yaO7bnbuZV3zXykumwK7bwRqQjURquDxEJ0
jYdC3y66fmuSOk84C5omxbqry9k7NGO6yxwi5+0mvFA7pl1umG3CJD92VX85hdW6z1XO5nJTCRT7
LDgfPLMzt6XQwTt0TJy8HPB/4gADmb/oVbExS7IMprneF8Z4PXbIcLVleuOVRSCM/I3qRDuVFVvH
RpsvU+EaqzCLz71BCc+4iZ4RD3HDQ9vaA5a0v8ZK4QSNM3hWMMOfCNQFoyiL85bV6UU0Ks6hjqru
SnRAg0kHj3ou8JqpjGW7r27tTofRMlZu6BBDInY9YOnZAoxlhO2jB1baN+dyZ2Y1L0FIeg0Ep51I
HxosfsVuFG6VIl7ujLpifa3Pk49S/MZt7GOvzW953GRrLbOugUFFRxtdyVKMFzr7QM1L0afaKKzw
ob+mS+3t+8p5pZ0G0uUu3doaPeguWnfVk0LEG/E8zODmYFGoD5UDK4Ok81WTmQFYJTKBIndYaUC+
1xVoI0YZ0bxJtfA9r1GBtTMBH0WvntgEVL49UDiGS35s9FINFtVudtGwrHGnrFmZH6ZU79as6h9T
xCJIKfr+LCbr59xguPemqmF2W6HR2uWjOytSsAEN7Z/b6ef+lZnAH99OZ09d9/Z7Ozg+69vNhMsJ
RJSKwcnQKQR/MH6SWiD/97fJ/q83E7lqNLxSisvlQwiNR3P7rYP1fsIlbPMVaWOxHOju39nBYRT9
fDNZjDjIOqdfNpm6e5862HHwhFJX9nSaJ6NzgngMU4KDHLboAHRi1vvhsV/gOwYzkKsMLY6Go5HV
YdLv64UodDHaS3bWkU+zBKnQ+wX7TV1WGEhKMIMvwp4c7DJ1Gy5BH7UU4JFod8LWIu/dUwutv5m7
jkCxPnHMcB3Oy+Kt8xq+GfQqRa65GhvwHT6jbOKsXRhNI7EfIqEFMATbJTAdDUOnFESs+yHTtoOa
Ybpox8i07nINW9EGK8GeVSHlcInsclcrI4goYx7S98lwxSaC1KQGUZSScIK1S93FiK0OSujmzwle
0LUHP16BqDSPgZK39mrkTYwkDuC+WihYIa3Weh4tzphlKYxtr85KTOsQmVtrjt/tSSFRoXTf6cPN
VV9EReCAMt3CRcfBOTKrBp8/HeMIvY0rS/4oKeAE9rgz81Ypn4m8yOgh+gzpq46+pFUR7wyWFq20
OVF3bmvSJYes2jU3R/a5VNGhbpX80pxzmINC87ZuXb5lzmJtgcuRaR+P5pbjH5BRh7UsixyUwNaQ
X2YqYWCNh2K0HvVV0TQTpEIsR5FrvMUIBHZWm/FYjDk1CDd40FaRwzhMea4zTHD2kg8M7yt3G7ft
uzMRV1/rNPBOwVhiPbWYKPJed7YVRNgDhrt0rStxCqOWnUNU2dUhg52bDCkKMfIFoHxN85XnhdZ2
8qoi6KTDCtE1IrLWhPE2hGgvlpZv0zW+5GWmU5Sn0aptYRyHE0dxBet+BYECUExlpFs03c0V+WP4
fqOpv3IS+uVl1ho0QkCC99wv+WZRPRF0cPWk5qQOhOYMSIW4lUJRZjstR8TBKvffC5j/6bnf/39F
vUxz/+Nj8zJ/enlrf1vQy8/6dmzqHzBSjOg2RH05xPtu8Af2G486x6PNucVi9NeCXrK9bUOGw0Bx
+ajafzk2YXtTD+Oihx9js0r9e4O/j2Px16G9HPw51NeujlRCl2FCn4b2jNpo1k1nOvVizIj6yh6q
kYAQ6TYiOuxUaE36gpqrZPdj3Bo9Qs7RUMIb15neUSxvsDmYq0U6mSJc4qr0NhUOBXzShs+t9D2J
nCJzHMpr08sjRNBVuJ3G8NyVfqm4dp4HI7mxx+Uhlo4qXXqr9Nr0RRUXFH01Onj8V4V0YhlYspZc
v+G1GD1pSLsm6mBd+rdSd0j9EP0Adus7U3q8YFq+pp17TlbDlWqKU8x8qUKnsQL7d6XHqroxsWuu
UqxjQif5TXK1VoADJpT7ILAj6YpqfKMZ0r0q/WcT+iJNOtKYyHXIc3GpDXNtBEYWbm3pYKukly2s
zdvWg7WKsmMwjGBA27dqpO8tKeY9DHPT76UnLsIcZ3mvRRXSPOF3wjfnjP2XQcXTUKd43xnejKth
ZklnjwPHsJjfUEPtR83hFsCY66nxfaQViNldxc9d/LomE4II316qO4BRnQs5qo2q9r7C3zcM89Gp
MlQaC5s8B1uuth/C7EqXxkCmdNcuv6GQ9milVO1myvOLFi+hjacwEwsXI7k/K/IqGDjiPCxwIKY4
EfUaSyItmbmpBw0uE35FjcgzJcfAaC/qfUIaIldnelzwONZ4HWs8j1GbeWjU8zcMr18FrsjaGM4E
Lsneszecwl8G3JM50+GVJQ2Vbc3hvEiTpd417w6uS1XaLxHVnPPPdDbhy2wgHITmO0pVkvn4cSbM
m7V0ceqmpEiDikzdimAecipTpHxtWX01ACMY0gtazuLJHBDl8ZBj2ZADR7xoZ9qYv4Y8kV5roNPX
YUhiMmW2uavs/hVxN8ra2Li1sKNGSYKZN2wuNXXqoVuOYs3kDKmqMqdrRTpaZ0bDK2bi92nPL2kp
uWgt+sSVWejX+JIDry7Qn0uTLPw/WNVg9C70AQNxB0N7b/CeeyzA+lXSahtHGYVDb95V0oY7T623
DzPSBiunE1tzZM+tDpPpD41GSLa8ahJcvVY69d4ZKv2+vArjMJ2DvkDLfDci8M5W1oiOF+BkmJk3
RGXS0SmRcZ+YqfQJDjd4ysmVJJFSlKa19qZxnbtpyhDP28711FG2u+6axXt+SABQBAUgxQB3wGM1
WilkON5uecwjXU69vYoFPhScUL6SYKpwPXHj1gKPUhyfRLy8wgGmpYzcdZI0GxVC/5AV0OWwDQWl
7cZr0KPIep0LYVJ+1Am0QvchscoNQZIh09Z4Q6+wT+jUIM4yjKgu82TYIBHu/UXpjlXd1ZQp/cGM
y+giz8RdZiIxmg1tS61w0aXtpWiGOy/zcKGbpR+F0zPZrvdVRUSjyhhDh1CZ5gbKgmZZ0MAm9xaN
+6paGMO5hkYO1Ihqc4LlmMX5mTph3gIM6IuEDrrprcdawV+jN1CEjOx9Xpq7OnXu6yY5z1vzGTEl
Q4vCQf7oHewBh6zZxIxOm4lNQh8pMhroGXPjtauXZ/zjIbhMlwmnpnNXjEx9lxydgTW5cdC40dpe
FJPRgEdwN+1/1fNmmnnrOQs/Z6xDzGCgyBDzOh04BXTtQHbKMRz6M5jVcBwBSK5QJsSrcCzoUxN8
yYPjkn5UIJYNs/5NQeeGL7dJN/3gYQKv1Ysy9JRgzAcMXKUGKiB8UubiLM6WO2VmGkBniAGiSW/m
WrAQnqZd3eHIQkuZrZ2oeZmI8FopmGH8qijvSHo9xnX9kixO70O6LW5F2e6UUicxDBNFWPOvkTs0
yUNGCFXocmxMe6eoqbntgXwAboe6f/H0yaTuyXnWumKYrFWuRkoLPFObSfDKozIwZZRFF/ad91Uv
ut75eb3/T0Uk6RF/XBGdP72+tU+/rYjkZ32riGgkKV6YH5KyTdyQbOR+WYWqP1mmZXL3qgb1jeQx
/jriBPTqwfRhdwli4ftG0v6J0CI0nnyCoTH8/1sVEeXA50bSBS1FcjYhSORSup+hkArPSKf3WgQy
udg40sDQdxbiCTwNaGUeajwOtei99YLrwZH2h7KIzvNq2Kn4IkxpkJg8yFTG1PkU8EdR4QpZvJR8
6JGGE39FKY0WvbRcUAXdg3uARpN4XkCkwos21AxG3eGiH1AGaeOjjYNDw8lhSUsHW/SvtkfmyThF
960+qLsS/0dUTKHvhKSm8W1XmwGXSCXtIpGmP+K5I4tNWkmQtNPCKDaM3j58JzrrDdUoIm4WmIFb
pQTs4UqpsvgKi87TgltFkfwjTxpYwKvSDeNpsaS5ZUBEjscKNkfnVM8EPLzEOGEK4g4pyfgRB2mT
6WrtklqA8SOxc/hoUmmoSVuC4zo8NoRCXKqlwZGf5L0/SSNOLi05CDtHjFHTC46Qzs+1IVllsUtX
E1uc6mp6S/l2iTEDQ4baE0Zn5M4Z6dY3HV6gotCuunJqN2mOv07BLxTjG4p7cawrrHXOFBOEjrco
0mqJA2cpY0vjUTVYOASSDvFPrC53mFEhAlXWgKHdSdmDYl9C9ptuMKa/0nHPh2iMIf2XKssxaXwy
Jlch1cM4s6UnynRrTqYwvJqlYSpuem8DAB0TVc5pGkljVSktVpWtbCuZi5w4mwoP1oz6ddtF3C95
HRcb2lkk/3i2IPsgCcZRhY0rRBjWEAYtLV55VLz0XoynTE7scmkEy6UlTOANy/GI2RFoziSrcRBE
GMhwzW5SaSlTmQEmodYHEkV60PGdZaETrx126WsyfHggB8dixopRrdXnwmc29zK0qoFJhVzEQRrb
UmwI/iDNbom0vSFdOWfbyrhW2G9tDWCg9bQLbvzSN3oeZctMxToaE2xY0QxDXrFvSlx2o7TbJRRh
K9j4+a7vBPzraCJ4EHteiE8PpC7FXBHK3r5kiSrtfA2+vlAa/BozN3fgoR69VH+Gb791pBlQF925
UqAjixSXghjH4BI3z/A9SFObHJjdZefZVyzOe/OgLYYmDYcW3l7RzsXKmPBNxg+CPIYNsPbKz4dB
RfEgNjNNz6UzFY9TCfGdgAamNB1tSmPN91COsVITURkIKkF34karKpL/sqyCxTRA482NoEtgQoct
2gcNWPOxbejnG5eOBpPF7VKFJ7y3Z4Ng4DpU5XvSNze6Ee9L3T2OLu7VnhJ6ibd6VhxiJT5XU5b5
1cycwMwHxhytea1W9oijtRk3jYAfaWARdmJMf06kB3bGN+5Fu24yj8xc3u3e2XTEIXA0IbwLi/mA
pPNJB9PPsBvDZiP6iVZvtA8J97wrIoERPHX6/qGMmrHaiLg2Fx8zXXVjTEN3XwkxPYpQx/Zhq93Y
7ozEtb5GWWUd+q7Oo0sgJZG77xvF/BpGth6ep7Cat4WXkb7phQ9abNqBJXQejZC2MeR52ZkVppQp
ZVs68dwFFmXDiqfwcTCH3ZIxV0K8sIvtJWSaTl08MYVf0VdeuctC/M1AyVcsC5VscZnbUXY3aJxw
RZ1wPGXkJQxR+h61zlVroxZRJigtSO53+ZzlOJKda8PrX4t5vG8sXDK8i7duiIzdowtr1OXSM5Pj
kM2WT93zpAnO8arEM46RXpu03O/7sNs1ObE/ZRee5kzV/ZnUn5VCWO+qZACX7UvplOqM8okWO0ZE
i4vKwU6VZOmzjr2qSsWzwG5VNiBMFgxYoYkTK5KeLAdzlirOyrFaF9nORYFQLttkSLbK6J4i6esa
MXjZGL0IOd6H0vnlYAHTUCGsNOkKy6U/zCkm2DU4xmLpHWuli6yUfjL8uKQy6gkif4wAM6YzY1Q1
v5gYJekY0pKUbNa8dc5CrGqV9Kw10r1GA3rbxPqFKX1tVoSbs21xumF5y+zqssICp2A+8ivVfkjd
8SWVLjkSCo6T9M2Nood5vjxYGOoo6k+zdNjpWO1q6bkb0nqTeJLE7uIsxpWHdS/ybYVVx4CkqDQS
w6dLhL0B4ttybhwvM1jam2/26NHGStef4fbHVPoA0c7Y/EWxabEImtIrOCSQuBPsg57tcD4j2slG
3NZKcgPQj1QAgOoM2jJwcSM+xEw25CoTjlZaFB28ioUWvaWet7OQzFYKHw1xNfYj/iZcjoUeb/9Z
THwsJkg4/rN68q19eUO3/lmOJz/rWz0pJ2y4f+gdf9mL/1JPaj/pMNlM2h1kcjQv39eTFIs6hSSe
Ag+Q5XfmIOpJUzUcD0mWycYDt9E3eeHlz5MzlIl/aAegCP1tPemAvYQ5Ig1C5mcKvKHok9Y3WXbS
VLNvD+AL4PQkY2Eq3BGZM8GBlgbIoUmbK83J1oNewHIsdmK/V8N0W8pCYiITBSclMSOAzvBWkjrd
HlUBZPBLKM8Wu2d4AdhG96FbcvCwXbdYBOxq3cr9hOMJesRJKPnIDEd/CiGr+gzCjzVHWmkTYOtw
yOHx3oLpWjaDK+4pAF9htV2TmskXMJZ6FwlrA+uq2pmdd0X6OCv9Vg+IegPDJE/YmnwzYpCLS8U0
YBOoc+/j3Ty5HMxTkUorMGd1JE9t0bq70WaPUWTTLrT1R1Oe8FM1D8EoT/2qasaAuWi6q40iD7zW
cfGjhxziTfxlyJoe1z2ghihDy7/UqrYxYjbWg2IwXZnsPt7F2K0YvNXQl1Y6+iJkhkq+i2OVDFVE
6NtO0/Ijasfo2ukd8WCPqJQrh4T2TiTWKaHR8CMt0S7mmSQgYeqXwCphsnTYOe3G6bdtknabuCoY
NI4FL62n7kPoNf2u1A3Ozpi5/DxqJPiILOwOqdYyexl64+jWLSvXggy1iO+hbJKD6Si2tvcyoo42
OpiNcXYy7VlrDHM9DMrKadDTx2COUOfQFmSogNBercxo2ahWcWWiQSI0F68p5NDsjR7koemys0ql
OAUVsM25e3wscOetp5x3is6DVCRrq86vRQzNTm8fdSU7S6ekWjV6cWuAfQhAJryYHPF65FyUheA2
jXsno2KfEz1Aw2igp7PidDln3Veu1GwKsjrlpGUARcxSvB8K3NgipOQR6FuCYoleFjHhwVArOGue
hHohyVpZXslqu7Ve4NO0K8bdGX7fvlsbsQgGjfC9AjGH6MV67kuL4JYxJQgRPRmq0IvenuAAqBbX
d1Qw9XIjyi/+JoK9VUz2hwPOy8d3S89mgXN1F3PcznEyrlWhXjgWzrqMmSyrsAxmFKGGNmm0PrFA
epDkncI6TP9qC42mbK5uJkeQqjFPKAnKzmHnzZVHhcME1mSS6ThvRRi9MqHMfd5dPsS2fpVC2h6s
EtHmSDqTOji4VOciqDTpZ6smb+Py6KuaGa1Lte0RulogrSgRKmY6Scqg9lB2fXX7z/3xcX/Ig/vP
5hFt8nt77e8XNMiqTEdSg2E/sdjmQ79cHwaTCkjCNuB0Tcd3+uv1AV+KVF3sXaDo/63n/rbXdn6S
plN2N4ZlQyBmo/LpuvjT60PaXr9zVcgFDVIw8l/ZbfNd8AX5+HeKK+Ln2C0p6nIyivi+MeiXc7Iy
sVPjy9GWYoPagySXam/Nij8K776oqOXVQVAlevZt6gK6q/p9gVOoGV28NY4DHyhI4qm+yytPCypd
vYqUEqg+hTRAkzxVnnVEgKyZoRbER4dJoPCtUoVtgSJo1/X0TMWQDlcqAk/c7PbNlNmL74LoAR3K
crI01nWMDqkR1e08K/eVVd4ZtNQrVed0V1v6U2WGMugeOKA5LruXdjGQcPGWiUBE1ql+SVl5r48d
K6Keyizss/OxRlI2hOX73AJSi8GOhiYCVb0tDGYj4oQe56nJaTat0SDYuIpfm6lY0JiFlKPCDSKV
sB0mAdomc2yH0EjFnPeTqBQfKexRG5yTAY2TvOjjwjsWO6+DlDcGI0jyajvWD7HqPSqmA8UgN64y
lkC9VdxnyYLqNV3u+nbictTqCy3kPq+rd13V1mObXHuDnGgApKyjYq8V833WDUelGt/VlpGGqswk
XxrGgJqXsayiZP3KyLNd0ym1b8S2D0cAvYyuDuBTYveks75n2dtk/tjD9wRB6veS8VyljFALVvaB
m2WLXwoYgLbqvMRzdCiJktr2YUogJzlqpatT8Rq7YWhPYd7SpQPvOI+btoGibttDseUglJuBvNgb
ZFt1nXXONUaDXHErxuW4MYkkyiBXZbkA9ERkaFqKp8jGw8TX9CsCApEBTdCD0OHGhvKktlHqtyOi
Py2Dnoj+nvLEPcf3QIigCu4Jj6ENudVgeFtKFR0nvN4X6Gn1CIu+A4l1aYddPIoFwEdu0sY4a5dp
z7ZUYDIQsGRfDIlLUW7ulaa7p1DcqYN+P41I2KK4U9d9p2sXyIjTM/QcjAc8LMqxxXUfjrCqSsFa
zjCVcDuTfHNRC0O/SnQ538jGrYfaCDPCocjImxWN/kS0i4Vye05O5CyA4rLMzewWm6Enjw0pQ84c
vnyeCWnTx+RLFUHy9vosiACssj+Y8xPe1FWCQe67Q+3fRef3XtAfVZk/m8nw5dkaBnjpeZcl6Hdn
RG2wu80VTzvlBZuNV4KopmL/t1+C8Ah20uw7NRWz/Y8vMdeR6NLENk9Z9zxkl3N9W3o/e/T+mZnr
nOl/ckdVJKH+TovDJ31rcT60Vy5ZSLJ9AIPAh365oxARACU0ABry6OnfQffRXvEvZnoUeFIT7PDQ
/PuK+lBlcelxfxHFqUs30t+4oqRB6ccbypTNDXRETedr6e6nR6OpGjrqOI0vWZdb7q75UDhZzklD
OkNJFn3In+CYSS3UUKNQYQYsRVLISPt2436Ip6YPIdUEVQi5kBE+1VmRqgHwjVw58kN34UEjkRKy
Acj66NLMyqRgImPG0vs8APwXKI2XHMpZ54VSsENCMvPz2WY+R+XtkYKIEBFZLuz3Jt45jK5QFKcW
WDzhtNauiVoPFGjR0ac0U96eQJpiVhmMeXKCyGXCtspcm/lpPyhvFu/pf9r7n31zUor+x4++xAqc
DUn3r9MzQ7bfAwv8uDcyaUw119NV10M488ObAPa6aqg8zygRVd4f3/ZGFhAQPsflA9hMLIkO+Vao
mT+5vD9c9SNzBV3j3xIg8nV+fBNInojlYuTj64EU+aSjaVl4dZzO0Yl5J/p3IkX/Kn7t82ZK6vtd
qlHKSlx6DlB3fjnfH/MF8GSvzmdxEWXOvowHbyN09PYbpxDnwkChyGoeVMYiId62AhBupfWudaMz
WyPOHY3FudM6Xrcvo7A5H1rG5H7xAeKQBaYIzA9Ah0rbvASQ34KqntR6l5H/GgDXVLdCYj0QzOmY
7Wxti0OuCTqJ/zDsWoVraV+mEgvCW5clkESFJEpEUxW1VaqwJJM0kbJd4vci7UcQZgledN/tVCXw
8tnUU9/L+VOg1eyag9gsVOMGTQR7groRzVUv+C4SskYXfFsrRcRfjFo7xiJu2ecqzSrzsr0xNtsR
Gtw02NrK6ZWLIR7vrcy4bbzupsUiEJXjvW0VEIFtDD5ZYsJgQsRsNmcxSTIagT97rR2I7xD2kXku
xiXSmXFGQTgTZGcisViq+cAW67GGV+rnuWOvZI5Gm9jpjo6WMb76HNvZzAoboY2JhZF6UXsjpJ70
SFZ8c2Wnqx6PNPYBo9j0QlhbjrvlyLj3OIbKVjDa7ZUk2ha51a4ZvECPq4NmSs6LScINgFYD1Ky3
y9Lu2Slcx1aTb9PSAj6tZPuWdQK+fm1fdqIN2ri4qdr+GBvUY8qs2i/zmHX+3EYT5Dl7I5jPrzBE
BKYJl1RxSzIDw72om/PJLAHJkuDJAJTZi+uOrMxS68YyZwD4gjl8V5bWisW/vi5CcMpMe84be1T8
yGv3YybmbZWrb6Y9vGo4NrZtbhdHwyMcaBVnVnJVg6yDNyaJchq1JR5X5eBlqbbtXPUlU+L9YisX
vebc9bGyzWO2QO7cIj/ABWFoZ0vhXo1luWH7s07bMOg0BYTrlO2mXAea2+vkHPOLt0pn16njg7Zg
66qtSGpzvi72eF79H/bOZDluJIuy/9J7yDADvuhNADEzGJynDYwUSczzjK/v48ySSqnKbLPc56rM
SimRogJwf/fde67KZTRupgM0kKuFP3TQilMuQfYmvttKedVb7UNRpn1pLhdGoOyE80BrSekuB0Qi
d2NRcd041n29aCuupW9Dz923Q2oGLXZh6fNVGCSaZ+hIzkEKMCrUSYbawm9G7QIcdeiN5plDiB7m
yIsWUm3WUm+cSLlzp/beZPcxhYTnrYhzbpBSQTzP9AHER5ine2ZRQjWD9lAp0Z3r5vd4nvEVjRsn
rD51ZzrUQjlMhCJJxdqHOhHbzM56WPBIK6UG/Kc3uxtzTA78/Y5Wor4YWK6wKQEpAa8VbXSyG2Tz
pnQ3KbkOIphymdYt4waZaQ7u8y5Ib6bAodJ5osAAex0JkriL/FpJaRyVWVmKs1iO6ZirRx6Li6Gy
4sveXFDhsmZgGOsrWz5hKPaoTqJjCKgD921hGQsN1n5QWt1eD619GVALuw4yxqfOFC0fZpKNw9xn
x9klLBnq1k2n0myHS6ZmwcgGQ9OS41CCwavScUXSErNf1YabVJhPtn2b8C/v1z32EGdqi4NrZPYp
wEa8nhbijSwr3kz60Dj954hHTvBvZN3R4JPyc5zRGufwgsKdharg4Drtyjf2dV4SJL6b6DWUU/VW
6piGUb20fbpeymQ3JN0neYkzZKZkEwYsG4wxeya8vIls56WcoXK4LRUOWp1j9pVBm7ZwV4kzX7QB
AOI5Zl6gQ6fW33MamrdVbTFoDc/0Pmwts2M3FPcvbYf7ruGfOR1B/juPWtE+WH3xaGklTQxTcjtl
80Uhxl1X47RWxuQxjOZ9PPKITtNpCPJtmINmoUThpuuWs9Xaz1NkXZYMRK45PI5L46EsHGJnGTaD
SaXApMp6D4ElK31ZavKEIrG3KKrkUzNyWp0b78N2itaRQa9hYtm37Fn5CWaIaWHh3NVDfOhop/Bo
dX3mJDjWAWOjEhdXMdvGXZmEjxaFvSz3m50l53pz9pV+OhkFf3tAyResp3dNGh7YVD6LaiBJUnqV
m4Kld3dpjuOnDXDz6emr4iq+BZG5zxDVKE9/Vbv0wM/ajxe6dEAR0RoxX7eVyrdpItGqyq6x7JdA
rfbDnEmfwC3ygo9ktGxIDpdw+qMrjKSfgYqZaF6KF7DQiMtLfELz2NZBfQc0eWEyLHdDCB2acuf5
QtMwQOj6Rd/ELza5crVhbtb1stsUuaoRxjTHK2jjBGQbcgmp2zwVahRuFNU9qxC8sE/W9bHVnNDr
oinfoAN9jzMl92mnVJ7GyubzAuB0jXsgWBkg+t8n0ge+jlAEzX7WT1ge/mGBJVcQYVJdaXML4daM
R/nPVxDSRFqeF4FymST3dvqQijfT+mfD7P98CXnT+mWYnfkU22nPl1Br6l+cc1+d6bL85Zr5FwPz
n3cy8iYl/xrEUrgbMjYZv/01dGzD+Sji8Kwio7gONKiLabpTFP///2UQCH+5FP7xZchJkpch7WYS
d/nzXyUsk9lw0iE89zkBECCmrc5zWN/35pWkRNptw9Lmj9Lhf6douVj7+1Hi8rX6C9+Z/D0/hmjA
ZKoNKJCeRdk3J1eIP4do/RuVrGRoGQX+owH/mB/cbwzdiMDUAgAgs2Xq9sf84H7Dhy/4FUOuH6V/
/x9M0aA+/vRh+XLioxmZch3JA/Y/0dqmbnPTGvTlXEnPu6Z3dJkJ9g2VNd9rSb0N5GYGJ68fVP2b
2gcvsQ1LSZ3MY2sFmWTv3ouh9lVrPlkLTdlWh5UlAE6uhjBrceDMgXulZiH1IIzM3CnVbTqJ02hY
F2Vebt1Q7ECxnyFVmdyPlxR2D9AOli23tlX2G4TYD8UuiPcIKn8HMzw5Nix8heDMyq3JPurSPqJQ
dG/Ee9UaHa/S3QeoFFetnp0t1p6YOIqBNvUhwxwwb4OJff1siessCaGFpQBHyRjOVkKnUVaqyAPm
x1iGyWlZ+op4NV9ntobtojQhtS2hx+ZslyspvUqT1vhBNkZrbtZq5wHlP/Qq+V69GikP0R3hp1Ht
xZm1EXX2FnL96Ga+9WqgHQmGWuqVZrKdiH9uHDWS3IhdUxTcwjqBV56GDzPT9vpcHg0VvLuGDy4g
l+q50rIapDjQ0rL0xGjf1lpsIwc2nafg0kBobMyzm9n7YsRLRCWVvbJaK9uzKL600UKNouAo7IIX
MFx3iUK1fawYO3MOPki4YZCl8Z36MBysmLjpncX4BJZ3V0YBoChmrLvZFS3wB2ufF3i7zLC6Ya+5
m3A3ehEweq4xbe2VcRtQxDmoK00l+VQlYhMXuGqWKJ6hUpDmssL0e6MVUDlqjT2Ysug3otZcBJUU
mRTfBY7IyFdY8m6GL74LgPn8lGLr2NsS/4I8Mnqj4qb7CjbMJJMHA6GXla07ybYraRPbNW1YkhnB
KnfQ7Ogd9DXECO7Gh6WKYhp1mn1Th3etikCkdvrOVKghIw+ybqPeWg8MJu5QlHCuG5mV+CxxBFMx
MLIAH56qdnYIjFErodcYJGHseENQPQ1MEmuQJxd9QTobqLbXuMn10rm4GUsIHqN1KmS9U6A8dKOm
euYosxMsGO3QPDvsZ3tX21gxe+vWTMsVG9pt4ugXmc0soYoOtGxwHtT0XkwMSbkV7EO9trYDJhov
0ep43SRlu4mj4lWo6SnCwz1lYbRWhTgVmdh1FpiT0VHe4yC+x4BVe6ESRthv1Hcjrh6G1PUZndGs
wI6+Do21VjTlmZxOtBo7iG3UPnpE79NrOzVfyIfJO8K7s7TH2aouF808kgThMlRaJNZL/VQ0OWgc
iiUqxz4a+PCbhm2Aokc3VB1R6xbPL7pzlyprc3aPVQyUZACoRb9HA5NEuYsHR8Nsnl27pH49vWxw
s2Mft/vAK5TlKrICcr1G5xsjJsw4WSuKvVtari8sHWrWPa3wmpTbfyROTGB7ACtnxDuvh0rd6GN7
HByQKmm+vAh76DZd3niUGNYW6kWmJFx9hvqiH5c9ifY33UJoCDRKPDi9MUIkt11mvYkmqmGNEV0s
auchVPAeannAQ1wCuDKiDt8A70JIOZSZtQW+xsuvg+bfE9fgsPv7E/f29XsDoqPo/kq343f+PHc1
tqj0N/3EWP1y7mqcriw2HeKQX4Cr/+p2xNwM20SdNvgfnSXor+euSqiY3aDlcgc1kRj/wbmrS93w
l0va17mL35vvjhiyqeu/dwobyVAQwJjAO8Ct8sw+rjbsPZN1BTYqd6ZugzkD/iKFJMPzmOTHioFg
a6uuQ0wjjr0A+qxPQY52E4b2mrc4E8hcOOzfYuWodsurFejLpei7j9Gu27WTpLIeNLhl8LZPxUC+
daaOcVNNQ33JgmedhNFDhxFjBD+H/8095J1+MBvtE1XlYYyIipkpKKXGdzR9JyjOYQhDC49zksNJ
xpy3MM37k2q2iDHYFokmfiSOeT/ayks6KB/jwNMifeveNM64Esv8vc5ZGacqkos6AFBoCvjdKUfn
IOy3OTIlacKWOIiBaFsPiKGfy4coL691O1zbJThvZzZ7r+4Z5lH9+vAUxnu7Mm7q1j5RsvuxkFKa
iytbq+AaNOllQdprmZLHHD9ioAffo8K6Gywsf2ryOYdm5ceZfu02yB5uT6Z5CFtekp1OjqWraJGJ
MizsGTZgQY1lYzPxh53ld85o7njr0+mWRQ1RxJ7sGAoOsAIKIdsgEWuls1sfrQtN02xXuWJsMdkk
N5YGwGRi5031CukuLcZJb5WKcWpqElfkmgFSUDtx4OYBBmNiPFRKdcsLZ8+yJvYbA46Tyepj1wdi
Th+Kr8Y1vaV8LWllD1v21cmWDYs3GfaI6zEe1wXNbS0NbhNNblHHaptEGiGU7iuQ0lhL/J5npaP4
QuO4iE0t2DCda2cHIdJrsaMigMzFpjLH8pQvenzP2frQ0J65M2zxkrJhpGoWR+VoopEpVQ/Ianbv
REE5ZG7RIBv024zRcddo2r3SB5rfU1WynoKl2A4jvqjchLjitHpxbmWtAyaWlUHx7xTN5R2fAO52
rMI9yoqmq2JmGe72Y3WHQfitJU5wdOA50Y4XfVRaNFFgAI4qxhWu4AXjNsquJlcoNnBgnO6aPmh2
emNnt7VdZ+ehdIq7VJ87v6JjkntEdVe6nd91NkE7yeoNY4vQPWY3BsTES4yeY6acz4TcAk8xGqD7
aSnWVqyPx87WOOABOB26GZZ7UHl1ND64s8lqvVBneCz400MYLCt9MpW9oojxBULXCEqyDvzY7Yrt
VJXp9xRlf5f1I+yy2iXhHU27gYvEuunEAr6Jm8AKA0lzPRpacBGFBrvtYb5ssSNi+4eX65RUD9Hr
1Wwm1Z38jlqDk+IuoKa0VF2l1rSs/z2Pvrw+OvPz359Hlx/D6/tfzYD8rp9nkUxj4/tkic1ILlc+
/50B8YqyC6KTlxPFBEzx37MIDCNZJFac7Dclu/GXGZAsk8p6SSaToF7r1j85igxD6gG/hbFRCRAl
kCb4guZvekHA2WNYQTyfkcSMmQCcHszjaurE/bTo40qdERsFIUB3yW74IL/NVaZ4joIOPUYQDXCy
q+w9xKFNxZmIVYkpzX6D8XDKevFAovmeHqXPnpbuWuYRY+E8Z1VeUcxh0+pJaFHV84tSphgHmWdM
F+NyVOuIbI5qrmrkHhv/5sYoQaJpBCJ1pksKLaynNOPaNS9vwCYKJiKxG+v+npD0VUO4MnbBwqvC
vc2JXZblFF4GBDF5qdIrQjRTc5Pem/CV5IQ2DXCNCSHO2u33PaFOVPOAOoliU0TKI9UrnmDGtHRx
mREHXWTtV+HQ7IA1j6woodGE8GjtQoYziJNqpvZeivjcpvTrgFuabxe0s3igj1SrWm+piZ9aiUH5
CrEj9EklWQvFes6XlNjEGDiYCtXswNPLC3DUSLtOgaRcoPnKICyeY18QjSX0sawMrb+1Z3qhlsZ6
kAGP1AvjxrwVED7A/fRfYdvJbtvlXhtH1l6DC+/ZtygshUzCOoy6nJm6SVghYWb6AbnSFWLphWvD
xWvnrZpNu2Uc6AFuw3AF9G/L+T6AaQahGVjavemwB88d86MCrJmpRHqHbnlZTNQDu+WDEwX9fVcU
L3H20QTWgfxMieey3c99f5wack52UuwwginrKK3oxXWGk1Dx4qezccQ2+zib9iGviAfn1vxaa1Z9
T4ffTZibTJwD4fiRJOm0nZIk2MVWYCDpBjvIQqUX1saRpKa2Ekrl7GeFCwfbmwdlaFykdmUzCp3d
2kCdDR5UNxj3i4Czq5YVDL+w8IUM8A51tY3jCEyHg1tZDzZGb3EnY4fWNP3DkmWPmaV/0k+DkJ7U
T6pbXpCKu5+d6DnMCfZGlJ9NHQJxsTy1TZHzx0e7gFJfj6DYupi6Q947fJqT5WnoKE3Q6tdujtck
BI8iiX2K456pwOv8AAEfWylVJlkjKwmbe5LcA0gm7hKqkx5TMkjVQui5c55r3MCrprdPDR7qJTK3
NP0+arMybdV5Zunav9B6dcOVY+NoxdkwmdQqlV5ge9EvyEmwQLELWuihNRlsMIr3lC1ZP1B32MqW
rhiUsqDi3i8t4nAYklw14P8Z2UN1Tvu09O3ksY94zQOiF5aasp9ryTyxiJL8gztbLsSmMuNMb5y7
ogiPbq0+L250ysR0behAF+kiXIlavNPjuMsFqzHbqfdDn/MBDO6yhAYH+iCAtcq72qDd8TF+gtAV
8VqgATC2r1thvAtQZ+tEGa/KAGdz3mqSFKU7BE9YHWZ2JFYupj18f1N2NafiJk15r0RzVe+DIVLX
QDXHTWGLtynoXtOsvgpYzXqBYwU+y+nAy+daMGZbx8ptzavFcLeY5SKc1jJqXBUaVW8kYEJSyEtZ
XhhL+KaRTu5lTDmXgeUu1S/pY0xWbUUh4py5LBTJN9Pwt6x7J0r9Jq3gfXb0uFVk7Va0KeLtlSHp
wGwuFlLTHenpmBR1RJq6kbFq7lB7m5z1RN6aLDMJfBLYVRfRfCtD2XMY+kmU9x4VBX8Izf+OoPKE
/vsj/0wlRfjB8f4brVn+rh9HvuZ8MyFDcew7cmiUGZAfsq+GgguWSud0dy2LxPd/j3zjm+AOgHGK
NsQ/MsU/ZV/jG3BG2WDBHysdw/o/OfMJZvx25iMfIyADZFKFbpJf/s04UtvYBkdHDTDpawTCliwF
cEs07qhMtXosnFbWcalz/2Im0SEO5me6BhavcpLvxmBpvjIite7sKMuHdW2o8EqqGu5PEiOd0JBS
PoTNYM9AjdSW7lEerxXIJtB8Y2U0r2YWxB9drwbMB4UlAaLoUgXW4YL34ybq46Red1kLRw9OAfHC
JhH2YXaYaQSKThv0gltCXNmy8wmK6gQ0SXFDmlJT2CRWHAwYdXmJuBqLHElyUgzkx2zgDGtnWEpR
Ex6yXjtXS4mGrSL0jteasdBOCUvFUC5MasK0MNpPWEU8y27YfKO+emXLlKq3ZnRRmfZWrZSrhGf+
pgrcY0eTuwegEoSDaMmItWXjgXRM17PNcrcBV0UnT3+euvaspBMMphDW0mxyeyhp0Y5CXG68mjrc
mrExN5+p0d3GmXrLXiG3PIo+iyulpuTaMNMNQ90mrOzoiWSz52CTCFg+ngYTT4VRgiBusb0CSQnX
eumuesCEYjbyW8W2xk3lcjo49aJTdEV8vOavW9HXSwCCGs/FsX1dK6LzQCPjLq6SfsUAglVEKW9s
lo/CHj1qMdl8Czq4Kx05P1ZOLFo3g62Raugr874Vms8rLMb0lkFIyMgXcNHzaLana71yqmcr6NH2
NQW9fFXoFGm1c5Nsf3kU/2LH9psp1cRy6LoOZiX8tDi27N86MRI1GtWU1oVLXY2QVLJRf41mWaw5
p1RN/DvyfI08ssfi799/V1mfv7b/+/6Tv+vH+0/G4wRZNgByjJz2b9w+7KEML6oO4IjB5uf7z1S/
mfwSMhvC3H/emm3Zd9H//T8G0xAhMYYUXfZgS1/pP5DfjK9yrD/NPOxHCc3JEYqIP/5i3o+/rHvN
KCxwQM10t2QkyHb44Glpcev0lASZZy7ttRstjzxbK73usu1Iu6ISE+XPo2BloeQLLCKcs9N9w7O/
NsrmmpZ7fNsqRGPSovm0N6bWX3pgxzRehyGMHaAx4VlLBGQCcv+ebckiLm2ZVmmLPAMy/p3bPaYY
WflgBu4zXtUMQpTSbcyxe17KfDdyLfMNa7jiXmisa4zo/Lp6XAZacRE0T+ia9qp3sodC6fHuNOpH
XLWf46K/u0oVk5lII6/Rp9vcnSDGTOYzPaiPzYI3fKL9LoH16w2LuCzseT4qZnrDGUGxYYFlfcJz
wjPHfxi0nzzFJv8h+YlB8zWdqAABXll3A2QzjxoEi9L4rqZP3BKj1pYV0yB4xgYmkojo1u4an1lv
Nj0rVaecw8FAxa+wvO6b1ujEqxaDHljHE1lEjP90CkqEHG6kmpGFfs5OAuY4OphLv6BzOqAGbrfY
8PShIX8g8XSzBNVRg0gqZMma60Fi7EhE1CswLvyoyOmtWom7iyT4LpcIvLy2n8oFKB632RGDEaC8
sgQo0UmiEU6MfB1IoJ4t0Xp8Ns1VInF7CRpdJAF8QqL4wBnFp0Di+UbRt4coHJztJOF9Ba7e1q8l
0k+JcNJoaf+pS9wfnd0ImBIBqMECHDr++YAz1+tBggLpQWKzJOGB9El9CIkT7OsRDa/io8qIu89U
oIOllWRXrsHaUftCEirMEEIrzK0pgYXp0FpbN6o/cgkztORhWEvAoSNRh/zkcCZL/KFbUpGtzyAR
A9XkZyMxiYUEJhpf7ERwD9ykJVCxmgsyi7A0Vq1kNnau0hxHiWAMR2CMIqKbsJLU9aqzszX/eCbQ
AuuTIgJzZcJz1AhpbjlFYDyqEveYiApsFfSVNzUn/QHpjFWTBEQyQdmrujIHmP6SH5lIlGRS9EAl
JV6yYWW1GxdQ9uvoiz85SRSlGNjefGYkkXawrvXrEr6WDz20PXaU6zZHg0m+Uae7TNFCsB4ZTkJD
pLR71g+zIkJPXdAJSxwwLACJHg3tsxLWj1lZENlwBed0zgAy5AQKExUopzMnD1pRXiV1G7/MYnEA
dIXRxdy77sqsuhUs2eu46FyIuzjEy4JRRvQ2pszhhavPZgzdyJuE8jkmXUvQKX4mSHrIzOwJR62z
NVrF9rK8kS8RceJHse9TirB4ThV5hna5e4fv+KrWogNdCbLMvbwExf1dt8XjkCnw8Zvpqlsad+82
za5c2lv02/s6soO12rEHq/uG2Oscw7+M562how6QqEFYyIvjyMncuNFNqDbWyglJLfWZUR8tdaGb
MpFoUn0Xl9EhdYKza4wnZUIRn1ma8KQQqyS/CUEqzgr6wkX8lrhIAHbaJbvQGBC2TayHE/yrg23T
ZWraJYAUK38TrcU7S+2LtW3UV+Wo3CJcjNskTeNDWPQ8yiin63QeXb4l5vMZWZ31Be+koBzD61wT
7B55XK6/KJuLGkC5k1+0k/WHCaSbrdpW8U0Go8R39RYaFa2EW+yKWGMsViuVqc3rJYlwN0kUuBo4
83aiTWQdtLHhx9BG1mJJ6PRurE+ukZiuzGU/d8mZ0fyYG8mFBSp7bYyqvjVGI1sb2KM2qdnGmwgS
7TYLkLup+qX7wp4w1aF3xBGVF0Ec61vdmHjVJ3y3Uc5Tq4+sMbOC9isu2FRiVbylVFlzOAI5vraa
wZK5pBBUgWZvlQS5Jcnx2tYhPsgiZ7fOa6r/96rzR1TAxIT191ed2+i17f5C3ZW/6+dVBw6xxm3T
ZYtHh42UcH+MejpRTnnHYJVIZhOt9r9XnS9EMRkZSdD/SsP83DRyC9KZAG3p8VFNfvs/uupY8hb2
Z3nXZKaUJH4cZxI9gI7861WH5IxqVFmd4cJxAAGafYtIOT5gWceRUCvnKsLQ2uIphFMycXdnDT7z
qLkL6uMwuR9lL+2G4o74S+ahU+GWMUS1akPg8q6xc7N+Y3fBmqd+N478L+4YOqty3zC059aCVBND
7DDwZ7ZT/Ro5yWnu+g8nidajMNYdkJLVrFWQ2c3vbGbxvMJ3M9oSKGCc97ukanaNEMcW9zOi72ah
jpqNC5qPNVzY1L0543A56lGPwdyMqaDTXzPqDxnMnyJ1sDZOAEmmYtW4bVCiSM6hKplQiKyJNIAb
VMgpOK2NZJ1GyS0SccW2zBjXQzVdF4SlVy1opdGWehTf3JE8lO4t7gg7vNCKFQj2szCyd072ajvr
XNziEHcROKG7JishkZNTVIuRtF+bnFKTCTcOdbpKhiqjAsah8W4qZw4SF8wV7fVWh59+zO47q6Gq
tS58uAfXETaDVeGKgzYo5BKt7kRjCfCTfsvcdh1DAFr30uaMs3CrLi5nrLTd68U1Yft8ZbriOUm0
m5luc1oIS1Lh8AS92Tbuljx+pmmJnneQ87GbosvFFGxr4pjU6ieisb1DcTN9Pe7nNRc5oMmBcc1l
/TFK+P5DnCCrhfi4Z1fmrrcxPleFYa7ztv8ok3SvtHTVhDhm4pbxsNNsT435OurUUitEfVJZAJGY
85upwXBUwlmG59pvw5CrRl0giHYzUvfIG86DMyh8LU/NbV7257J0cRoH/Lu3mEi0qSY5Xz3D7Log
IXzRxCLeK6FGfMBmZWzqHN6ipVyZtSs6WldtA6O8LCJxUceWQ6sC0auwjS/VpHyGhBFv6kxqnnHj
TwAZ7ZFvdBwIFWvZsKs19UrXW6+y6LROteDYhP2+Lar7Xhm2ZVucorLcUOONwpjHrMHbAbiaPTYE
mCOggerwhHn5ox10T0mm7RjDyUoKYGeFXZ7Vmb/V7FyV9QjAQgy3bpptOvVQL5fdcAqUeDOrYh9O
xVmziit9CHY4vM9Kj79/mIetLtstZBC2L6PF1xc0C5sKBj6gcQC7hqGlxgZWFvyhRW5VHvaIHK95
b/u5OnyC7E6BeBmOtK7xqJK1nBK8vKX76SRTD2imBnSL6rLVCmsfadiil8DMG66MBvCuQkxbfP00
akxGAOEpGukXco1NQ4ognCK2LkGabPLBfO8trON9lL6XxvBUL/13OtSTddmyqA+N8QqoOHnV2B7A
F9ndmtfRAGunL/TmqIdZd+TdI8eUyuHsrmuS4gCHrCJPbLT5yrbucUYBL49wLWx7c654luqCe4Mz
ATp3v6DnbqGYbPAHnJc7E30IMLrB1vtSKfK5v/0DqD6KRjGO/dSXx9EqsuiJCUkfzmlX7cqQcG+V
zNm6NFNzE8cW/CpuRVoT3rQBTVtdOh1Ms+g3jdJMW1exjxYkB98iVib7hb7XDBWEW2zMW4n5lCpM
XBGQCUxyi30wSj7MtKxTFWpKfcgqX6rAfI2SRvc7NyEMvdSfaMIDGe0SWmcBnkVVuaU3HRvoOZ1O
M6gwGuKTTVopJ7NorpWgP+Zu+TLE4+eiGPR7UI/WaqSKwgpES2tMB6z5lgqNVjjVa5wi9gBEX3U6
lyaDnl2KOMZbVU8ug1ZcKMn8nEX656Kp/Cmh9ZkO+UOhxr6yHPR5AtdpEZcJm5uUoXGlIkBLOFx2
zCLnpKaZ6oupfB3DZc/IR7JDmWyvjheyj3p+aTsSE2wJylJgFSLs0PTlWIsfT/1pUeejsKbA46dQ
7ZyCqqiWNM0W+gfvdpYBjogdlmBY6PGI33Wpv1jho95A1XDNJPAjBTCNm4qRL970iIhiZywCfjnW
G/xjMdEYdyrP+VSNa4aZi8rF9UH6KIRl6JzjsTjBM0THwnwnSCi1eUt9RPdqi3FeMyXdziTBKLmQ
IDHBAWIl/X3QM/H1Y/FYZuUhUVK+x3556qlzwrNhm3wG2MRbqq54Tdl9tELc84LeqBX9rXnUrfTQ
2BlJec82TtL6Jg/L3L4ejavBrW6EVb7FHHQszNRLUyUAZPHcwUQOtsGiNaxemn0INJC37hiukFQA
F6TpXlizTJUVXuLq9ba14tGLzfacxj3cA2dT6N3DkGu7KmX1avY6H8DenNapisKLMar2BdC+LRNR
5Dm0qfg2OfVCUbStrUeQ1viBem2UnVWqz7C2d4e+wC5Z2+LgtNN9VpQqKTQOQV5ZcA+XcKuM2jHD
kuORdYU+z5N2hByJWwe7odJW9aorVIhEOpPwwN2ZsFAdgIQz9qYZX0V98qDA5doohYtlNQ54wVnj
bsl1HgnLvdKbYfFdDZKyXU7fqbt9NKwaU4nzfTENShXUTdUy8KchYfnK9ju8w0FePamluzPM5nZ0
9aORKISp5tRTs+ioN+NrmGfb3tE/RLocMPNes4thLd6pt4UpX+LUcfGuj7x/FcY/FEZUv7+/dt/E
w0fTxu9/sWSRcuGPm7dmfjMhugLb+s89+efFm/WLjXECIZENxx/8+x/WevObyjqGRQqWd7CucFt/
2bFwUaflCmFdZtr/mcXvqwj2V4nRMTD3o3xiqyC4gu/jz/fuSC8Ga+gN/dSUdV05Fwq2HOr4EAlb
oqrCTFIarXUj9RnKAcvHEiKuzTMv3bkDCOUiUZx7WaQ85pOyt6zCOPXcE/1Rb4sjy8T8FpL6eO4n
s7oo4q783oXdeNDzMb01tbE5mmUiCq+bnI9Aj3Fwm26w0ZLGIqded+VLpCKggaeGHtmM1coU2TbV
tdFfsoJKDlT9T8WIlxu9tWnuFbCoINkRTiUkjZhv11jXEp1XWJJ7bMnTqzzvgzsdie+GLGMW3aqJ
lYbtNnO0etljuMYz0LD1AgGoEdfV+YK0TveshtmVNZHPXF/Or+QMh+um0VxWzXC+8CQs9qBe2naV
rHMrrpN7JVmwOtZD6jigm+y6WY2NAUnTGub6Je173g8DVSQL4q/v4NxqqvngdhXQGrlpUodGWMdB
LqGCr31ULldTxLvZUim13FjNcWEYMDnaZD8TmRM+VUM3TEKDs9Pl4qtkA9YlGaqLHRjLyUrqbu/W
bjzcLAne7ZkX2WJ4ER/M8ZSTMC6UP/Yb/+5cZRrq798IMrO/+pAf47/YO/w6jMNyFgy6yPtfTz5v
i5/DuEbchgYLXLeyUkiwEv3xTrC/SScVeJEfu4WfrwT7G6O9xFjYGtkY2f/zj9YO0kr16zvBErpF
u49ryaUrR6/89V/WDkTdLQufvQIQLE+8jHIFed0qMhu0ktaVm5TSUAUQrsfG/hqzL82ecVOtxjp9
HOeu9HHtQOkDesmCLvFU2y5X+jgHfl27Iz3D7Rvvigdoni+VWp9mngb2eu5FlWfN2gSpGVTGPfmQ
ba7lmBA7iGw6ZnmrNr6zxPNQBFovMNRrASFoNboBzQVJ86hOzufEXLNJxoo+2uRedgatl3SBVKFg
W8hF/WT2Ve/HWgUjVBk3SVhVfl0q8ERTOrqUZjumhLBNrsirtocoy72fW3FQYhse2ZD4wWS+VNmg
zNdI6u6woXtnZCotJZEMQqFa4atiGvcFIwUrU7GpJNZskIAzXaLO6tlYDxJ+lkoKmsShCbSKXALS
ejV57yCmoWwLgNdA1IzuMhvu9bZ0YK2BWEOtB4QGdc2R+DUNDlsigWyTADQ4T4RT2nI42kHbHmq1
eKt1LuTwqriCr+GA4ny2c1O/rtOQOnWkPiKQAFNJ+KYOSxiKu1Xpin4qzPIBZbtk6zyVF5isZ09x
iLQ6WObCal9k5WWrtducMHQmnMNkBU8cbdh6UmPeE9/f0Hen7jX6CQh/tzO1npOO26bkhZzxwuH7
eXTDLj4MMbvfSjYP/j/2zmQ5jmNbtr/yfiBl2UR2b1h9FaoBCi0xSQNIMPs+I7uvvyugQx3ySqZr
mmsqEgKIqsrY4dt9uac6CIPByi+Bpz9Q14HZraIvD/IokfG4w7Uz1DFkKM3M1k1Gk8zaGLzTbE53
esuVV3da1eNHDUZT6fchDSZB3XBLb6xLHfobbTQBRjl3duLug2zepj20JJ0St74LHzovv4w+99LR
nLB490uR88pzykSJTRo8T57JYT+4JVRWHMS5NtMp0rS7UYYPVTEfmyG+b3L5Enf0n4xeQ7dzVC0d
0hkEkK3t2MPPhVVhbkaCyw6z5Q0vOf1KMvlI0LD7hp9Nm0J7jZRj78D/sgdCUp/tV8Bd+PaAinUy
O9EZcM3tutpPsPCOlibuYzm8F1qLiPHQSMNYYka6C6NkVaEXF9V8aBzjSfeTgcLBZNvGzS6eEnYG
7N7iNn3NZci47iJLd6SDrLqiaiYkaKTBKaun4c0PjHKt5xyxzozFEQs2dRImnuGy1ai9G1lW2O9W
pUN8CZL7OYwugyGe62Y4RrbxlNW6sdbNaVMXimKdaudA97dJXsChYssQ+cV7z60cCTo4+iEGThJv
N1nGX0PSGTrZcVLme+pej31X3PA35/WI1oXV0O7AzEAx2BjUn1Ojwm34GumMSAvNCb8kEBgL7jTM
6DqXyHaXxv2X1h9w0fVrwmDbxPJeOw+WgRSUXmKixpcIk9jaNWH1MrlqtaSc/oNwjp4pr55RQ84d
cbU1jfUSy2Y/tM0y0/oAOVHcWUm4d13rzmR3sJzm/mT31BGOdrENCrYZflNRMeZuEayeEzM9hnr7
6Bbkc7JEv3YRclWVnSIkeSq5ngln3zcxrwW1XF9FrtypzSnuTTIXudyHE1NXEve7zKwp2jWvvEkO
pUSMiJru0gYEz1z6sqXsX3KzBustsk3f6ngUhhuoVzcaEv+iHrS9mMROb8SmA5uez8Nu6DFp0uo2
Auzpsvmu61OMF3lNM29zM1a8ZT187nmbPcIVf02H+CJqe9814qMV1YGF4t6woqe+je9tr31g/s3Y
IQWb3o6IMXnvKXFxI5cznsZyH5jNEVjloZgV4NkYEKHSGy7Vr2Nm3dN9RFqc6cgoa32ZODqFLfGm
qKqLDeksdr3v/95WPm8r4m/9YPfdWxG3lKy3f55N1Ff+uK7gieDaQXkxzi8yvb8wH+Fp8UfcZOzP
KQON/sds4nFfwfWJVQtx2bEd/uiHJ8L9DWMX5iAVKsccwebhnwwn1q+5cSJJnu7p/Ah4z9SNSudH
/3k4gV5gpQ1034tE251PBBPt5GwIPTHXXZezNY7rnoRkZp/tqr6VKhis2K2NmT/0Bt5epopjbTZf
sqk8ZG1xjcG+dor/aiVUbwGEhb5N3hZELJvAcEVhwzHSh+c5KT78mP6psjdbjAlOeWeDmoUgjnAx
g9gFY7EyBYakrEtOoLBgvHpEIKy+MN5NOCKcB2HGQrX3jL3uWk18AILSke5j30xRNnkiMIWVxfIO
ZIZFA0Nf7V02etva9Q9OBqn1wQo6jsYgHxIcU34YiWOTxO2XZAhQ4XsrN+EsQgledjK5cVm0M7v5
dotc1NikZVqvoSy2cHvi9k2o19xVHLgV2TC+S0fttLPi2a1snorRsPXghG/hwr9VAU1c7lCPd4mX
DWiY5SkOdCzBADYWJFTX9Yy/NmJJUgbMK3rwpDXzvnO1a48aVfQDD55ihVf5OA72xef2svAqZ9lk
JnJ//FZp5U0mXW1RdvIk3YJ+da3aeZGL6Okb115qexxU6yKoz56iuFgNAZlhxxlwYOGxA9Z0DP3i
nJvjWZbNuz61Vz/KdmbiPCJQQ01xdwF1JQ7jyKLOqvusmgGgxdRP6tvBbq9Nh7g2DvvEEc+5C7HI
9958rz1kyYAXNbfMdeJ/LzgRReacofqv0Zu3opqXRtmegri9xRf7hZIilDOPenGDWSk6Y4O5eCS0
qIg6Fy3Jq9F8nkkj9SZ8Yo5CXksEWgToKDonuIJby6cKzIaU2B0SO9lWjv5q2smG/s1TZXXvYekl
a/XShy4LrgZXG4RHzxmp42o7/HP6WZpcTuvk3DgMeVTddrP2aEfWPsPJs8hkuQI8tW8JLnuxt/CD
+oMWYMS47JkN12OpRxxK2iao7CMosQ1dQqwaetT5yTgOAogPP8TSLwwQHsaR+q8De7xlE3XH0DXQ
ycabYYz2ZctxAYroo3HNa++P1wbj8iIIe/vOteFdOUN0dgJxmmwzvzQUluxznMuE88zSYoLs+X3Z
Y33RHZtKLt5SUplH+lZb1s5QMdv436ZwPGPGWYncOrpxeDfWnbMa8Qz1wKZWVl2/whjm7Wc5FISQ
R6j7aaNZwSuLhtNAGHnj5fIhZflnaZa7SEXX4j+cgTml1EZYuXCXWoRGTTNWsTYj40S9wFXQTbGk
Q4S1zMgr3if+bVJp25YalQqBcVdFqbbUWjfZ0C9x6hK5xSiztKGi6Kx+1rw7eLVMk1Fftrc17R3L
QrRQ+8DHRFN7k+Ucq0F6tGqM5Wz0cqc+V6Yq1avzr8C+eDFmbUUSmGEumPhldcyymbenuspawQ6z
aPOD9B3MI7l6wiKljh/VjOyEkaE65jF4o7SDAGWWL51L7px0er/U8vksDes0pvE3bAwJeCuTfj48
2aOKTBZJf3UK8wkm2kGzw52nyWyDRlCxGxtOto9htRc8ASBWVUu/KvCb1oFcsCqqN4mcjmXNXO9Y
8SVN68fekc4yisaH0IEwEGHCLFRsAS4N9AVjSVM5/p0mgc6QF0sSmz42C204Ys7KbkAepct/z/7f
lUp0gv9Ll2iKt+ZbXPyVNsFX/zj/kSsNSykM/n9O+f9qE+iVHL1YEQGBEArWUTR+nP82f4IAAe8Z
DurvU8OP89/6jXwzblfUCTUH/DNxwjDRRn4RJ8j5onFQjIwyoZuWrv78J3HCH22t8hk9z1rK+sVW
OppHrHfvKG2t/5TZurprWGhOGvIbIQekuGCo2+RxSlJyTJ9iXaF0u6KG3KpjREHPGz+lPfm7zhdC
80P1G7Oe8WJR/64IWvD5WX19SoWIkg26YfcpInqsn7h3EOnnze3q9EaFc/KQU/D+SKA2MZdZqk/3
kcHCFRx+Em2qit75EvP4DvQ6RYC2dJ8Ko8c3yEWtf6pIlRDOt6t5WoqCKCoPmLpYplbl3VppX9HQ
WCdfNLuyd8I3wNPRyhgQfzVCb0EJYXyCbeHJZR6w7Vl6sRMs/dIEbKjnSyxA8qRrbn52naK/5rjg
qe1ITbGM3aLfSS2w2b3X3quJP2omUuaXMzdV6YwL12MXDcAhc690G7JRn7s83tF6Mn/NTc1aRaGY
2mI56VyAzY307YTwp7BkWu693uq2dsMLQoP5qPVfurgxDHx/WChFYsio4JSNUFFRRPu5J/w2WHRE
7/wQi9x6qppw65IWv2ubPnml67S9893WpczKMbCkY3Z/yIfq7FttRaBG47d5W2hhT+Fzq4JaYVDK
eg8VW2IEi83kS4pr/2H0ibsgi0jAHwPrwWynW0Xn8iysgmRfo9yMh9yNxfDhDF744Vu+u5WqgT6L
o7ImH2hCLNIoacq1xqWCMW5fIs6x5lITluV62v1rbfoPBRVv/N8/uVbxR/hXDy2+8I+HlvOb7iFZ
2r/DhlQK9YegykMLP7bnW6w4vN9jrT8eWtZvXCeU1PpfrfXHQ8v8DXXWUl3gAoj8P1RU/yrIIizW
9aRasY6z8VRBl58eWjGfevaOnXUyPEZtTMU1a5CldOz0kMe8eYmY9rOLKVjolUn/UDHN95LBO6ST
82jJxH1LI9UaBgxFr18TNzOMW3KXkIySnlTYou0L/5KXHUs/S2bxvu4m8wGflWbvjVZvtIXva90l
D6zgkE6OTiEYNSjGfewSlbvhcZW1X/0idIZTY1WNfYcUu+2dIvsgMIYlu4glEqXwZLLV1f7A/1wl
dPXU7UVmokJSwpVSgamSOLNwidq5daTfmCqp09SAFpdFAYEoGv162dRNt5b6FN/Y3SSOQTBX6Bt+
4HNxxfECNyIgbOsK1CiiEPI2Mu03mP6vbhp+ZUinW134+RIjxUfV5R+OXxqAF/JafBu6eOnpxdKs
w2FfzLq96djjvg7kche9qUOjGFJpQA0aMKaiRT0bGtlzn3nw64ibY9dahbmnjj46aqmprDMNTcG1
HFkLVfVWKCoN+9qOYpYC362HJxhrJr4dCpt5cauVQ3yjHdpg5XX5jSf9cmkHjcu4a8/7VOBpjk0f
ddmPttxQ80WDx2phTV5CZIesilukq8rzPzwB1dPr511mIASx/dlOAf25WsucFAYN7lExvogIQnQ6
zP2C43ZbGj4dYN3Iva0ZzqnFKKgzcYGMtcdVY7v2OtEq8wL0Kb0nEWVdYdkXH4kuGuxbcfGc9IL6
2bj+VsDGvfl33vqct+y/fWp9wTDxZ5VFfc2PB5Zp8OzhMolTDWgz3of/PrBgsRGc48HEsKSIa7+o
LGxmYFSRqrcM3VYZ+B8PLA97p4WN0wL/zF/6Z8A1Zrr/NWXxP9AdHoBqq4T7/H/bMbtmSIrMTMZL
1QU0WsKZoAbpoTN5eCUKQTFjKod+ZGQX+gjy+1ahKmBhyZ2cA4OM3gjhSxEtamGdeSjqROVoypjc
5MNi/lp2CoUR1f27LwcwFgqTkSpghh+GlG3mIGJ8ehQfBFyNRgE2OkgbPQfvJQ+pox4UhsMI3WIr
2ZCvQ7qVV/QWPeYK25FlOPQSH3s/Ij4fMNAbID5GBftAUokvmQKAkHd81XRn2Pko+6iS8WOtcCGR
Aod0CiGiqU+5wa/gEhtspEe983f4ouxLOJiUOuU+QZeKxSvaJQG1gucCpsCXkgkEWz3t3oXMj7Ke
tqmvfRkomYfEwX6aHMTSjqqDLgWbl1BfU+NwSBsNNqtHK7hxKkt87HpXItfTN8HlLnq1e/E2OnzE
y6F8DlmxKRfKuopCFmVhfN+JNkNz0pyFVRiQdUIILnNf7zQn/6C0KCMa4xychitlNxfYiqgX3XRc
6zZRwPq6sOcvvNDwpZ3qvtSCs8imd2+Od5aKDonK+hZM7S3+w/6Ia63BxAVzph68M04aEofBfLZL
XtKuGlfIDrdpbr0j0SB2pF+1oKL6PcKAn40XmAEs9Cue1QZaOLhVc2/DPaJJkgASuaULhgeIDrnY
Oa1zLMfcW5euRYrJiL5U4XwnhMDwiUivjbO26AuUBd4fIzSsOvUu1qQn1jugJXvaux2BGDcKbzQA
0/mywfW2AhfdLth6fWhtuomlJ9j2TZvPcT6gUP2k99mhTwgFuDapBZMCPVatILaU6S1QgLdQod4m
mG+egr+1CgPXsCLlHktLiIARV5uVWDDMT+sYj94aT8NGV0g5FEp+yQozp00A50KFnhsUhE7nncpK
7ZopPF0fi/2ogHWoNPpDoSB2aA87Q2HtGgW4I7uWr8xggBcD/M6CgjdNpBsUFi+17YcGTp6pgHku
5DwXgp5QKD0ovc4iV3g9F86e5gHcc7uJdLuC8IGQAXINhqFXgL6gs49c7rnOK3ifDsWvyWR8MOD6
wUOgu7WMeZVA/mXWS2sEF20IN4NiAoohxp2tMIF+3mxbRQ4Mp2jl1dl7BFLQKys+6nxMqsod+cXm
r+TJD6M7VPtUc71VFhvGhbYdaxVILbqCqKCTReAtlF5w7muNEIvvrE1yKyQNEKQsVALWw+Md1gc6
pOoqPdTTTIQU3MZOrzux9tpSbKcw8Fc6hSf7qi5uwkh311MorQP24Bnus6FtBauGdVlXd45GH+Kc
TgdND18qLbduzQSMEE8/zMGx8JdAHw4a1I9wDIO1k1RfajcJv7dFvqITV4o7N0k+5mTGi1f4lML8
O/X/Z+rn6Pr7qf9QvtXyrwqqLL70j2NU/41x2sBCgIvq1wC7OmE9By+Oy9VM4KT4r1jBWckhbhJc
MHQTuBoSwo9jlEA85N7f/2f/NNRguZziv2gV7CpI9DgOZzlnM8fcr2M/Z2w+jmJqLpOGVYmWe2mg
eBaFl4CHjIpLLJwTviSEURRS7r824i2PtjnUr1YgrmmDS53MOg7VaJ/0/U2E3tpb8phi8NfQYTP0
WA9ddjbh4fQotVNlHXW6dBYWGi5LlE0QuscWbReo9h3UqUd3AoHNhOihAXvkB3Ex0d5d7FM04oj6
EMI81p74wVODikyxwR3dr2c5obGiMo+KcuajOzvezH2eR1kcPtrArTE4JuusGd59FOuAuFrXWK9W
yCUCRbsInE2Hwt2LGnB5dPbLcQMdiv6hCt06WVhlfWIX/uwKEkOGcfZRgrW0vCRGci5R1HsJZAaF
naTEFzYwt1EkT+EwLTkztwJFHlr5uTFJXfnf28ZXtYtI95GUhxktPxjwYaPtJ0mP2Z8hAs0/CmcC
SckqZxfgVM391E48cMf4ErItoHRyZbA9sNt8N7NNyL3uvWC7QAXAGXvYsWfrYM/ykDfTTtYwRtlK
uEl1Rq5az4G/t0JxddX6gjTrrlMLDZENp1StOIyJDW6QvlmluPrsQCKIBYjz7kWyHQnNfDWHPTUF
xbJle5L4495gmyJU2R/bFaegXLlm3xKQiSWEiACrlrWxWso4aj2T0a29KtnYuJ+rmxpnt1rmhGPF
9p7bSs6ep/jc+DSf25928gfubJ9bISx40b4rYV9exDzT6pcIp7C2fQNmzzdwwfQK6KbIbmUtMezj
703LrjoUToPxRJHgjEwJyvbc4/SnhTEbYdZwo6Sgy5qTq2mY2PY4+LEw7JKCyA6kXG/NP4lCLpNC
YkMR6ZLKBamgKHXShVcX9LQbtiDsYjHVKyzlAAAsJ93MinRXVljriQA+cpjRWejgYkkyyqk8HPVz
8n1QxDxfMx80EHrkf1YQoS4zyRwBYo8eyIHrE34P+HvQQE+E2p41DA/JqZEd0P1PYl/FNdYC4hcr
mF+ZPw2K7lephUugiH8s2oH6V+I9DDsw8YoLWLW1XLXCP5PuJQQzJt98CO2I5TJf9oosmJreR1j5
r8VkPtJY9cHPTzy11OmdUFxCq8KAEClWIWMIbOOUTo2+wuwM0JCO30sP4BC455MYp+/S1Q8JAERR
RvFm1OQ6Bo0Yz+baz7P6zJ2xJsvApdNUJMUSpGLBxMhMnrLziHprJQW49cEoXuiS5rdc59+00mNp
MQ7AE4mdb5J03Aca/Rk6Dgd/7sl2E/HJuvES6+67qnYYRc9AOOa8b10Hth5+ApfVW+ghN5i1ufEq
koO1ZW6D0nzpagKzPKaABoPyDUl3SSd+mUIQU74mvsZBjQsaDzgsyHdNNiuaDqblGOirugieLeh5
y4n5aDYlFEq66ABEmkvR4ZOfm+ohwj+00pNpWo8Or/sYBC8WuWMmhcDl/WVt4D/jgvYHPqJxOkG5
5WPZUKjEj2d9z3X4TH0QKhZVQ1w+pqAtr/dg9x1+tv4AQ+cy5kyH00xZRG7th0iHjtMTKtAP3eAx
m2iwPmKN1IKkhDqN9HuGpRu7iB6MydUXPTGVokmoVBeDtXJG7cgMamBUTR/piSFiieNplblVJu+j
KC02zdCG0VIrA0xCULBY7PTRXgBSJJUrFoXuaWSoCL2zkmGd0uY0j0sTrtmEbkNSyDXG7C4u+/jf
3cl/ZhFGg7+fRU5vwI3+fKFX3oQ/JhEI6jgSMKC5n0Zv/uiHAsmFHh4E6wpKxQQDyU9rE/c3ViPE
HdmK6DgbfrZ5Y5vQXQMdwGBAAb7+j2wTSl/8xdGpEpWYR7lUoXdSsPjrINLKQda5Mw0XvbxtQrGe
Enf10y8Ft9AUlsXPNXv8+376Dh5iBmsfBh2bf6HpI1L8+h1Ig6eWdKW8tCKhFYPgA42Xdyy/jQCe
P7bB9d9/P5zu/8d3VD/RT5qqyT0m5sIvL0mF28KbFE2OdkEzh15ZtndDU3qHvrMreOJ2sGidjZOA
Z6iDMbDXXd5RIBIWzuto+uaeYng+TuTXV0ZbWgvLi452CaHCM9Nl1ejfei397o/aSzHntyU16oBP
sX0kYcM6dyKib5kRBkTqJxZ5GIc7kTrchbJ4Y9uuBQgnLrfBNBZLcpDJwm2IlqNPNuBdYwQ5b1nJ
+Oox3dFtVy7cuD9qdcCrlOAHCTxl3upWYmJ36wx3ASh3/CHWriyN2z7CN+WBUNexhqZJeENl6UJa
2mMDO4BL8ms/W7ejG+16+Ndro2u3cQdyofIOUWyPi8gphw1NWC30/OlU0gB373bstbhyssi5L4nh
75yarBttzLvaibTubq4E/0HmDUGkLBTHDn8jTcgzi6iWhg8Ks2qMX97RQUlmaX7EybkfU1RlPzhr
enqeZucZaCvUBJYkFMsTvzPjr/T6fcsgR6wHW5zGShwC01r1aXXsKAyVctoT4LvV53qJC4T90XSE
zXuUXlOuujnXuVQPN22vP9eA+4XArZsX86OdET0P8ik9x7K4LdIOaDni6JwedHrFFyMWCzbj8Dnq
kWwOHCmiaiTm2sR9RDvHy8l9cGPmFaxFOXQE401gK3ASj9iGIOwRvclyjvfhIiLv2srGWBjo+4so
ajZGlR+CLL6VhXY/9MUmwoa3KFV2PvYx2HXf3Ajd2HCSOzMc1r7M5SIajRW9ByuRTHcd6chFC7PQ
GcR2aPqNjtjbOR7GJX1VluX9XIjbPKhrcnIYPrss7a/jFF2JZ+wbOI9e5b0Qgl6OuC4eKp08HcrG
9wJTM2mMLZBL1HrYlALsu5H2HzoNrwURy1oYaFOuvzeJKi4tK6YlbSBMG97SDn0SdgJ2PAetaK8z
t1jKMbhp23LX2Pj55g44lnamugGngrbnQXE3YfPFx8zEZ4lgA4z4STTt0uQTAkkEB3RhZ9MuHVAp
mgxULwMBqoZ2SNv5AQkN7HPWMUWV90kPvyShDkQGbBGkZ775MnlLXO9UUmi7GBOqETBmThA8BrC+
Qe/tPh8z/wYZlHb8N4deCdv67c8nnvqqn0489vk87gkK/KcY5I8Tj80a5DYCuj/YAH8YBegMIVaA
5O0apKL+l4TNXZ1Tkp5XADI6HsJ/YBTk2v6n8wFKE1ADj/YROkpU0ejP5wOmnqxK9US/mJaNYd32
8NwgeMuvTSLXvUhHMtmQ8LUAJn5i+E9B10eLQPHyeWy/YyW8dxVJnzzGCmMWbH0g+1LT9y3QfRz8
4bJRHH7chqtAwflTy3ilEZ32euw6N3ld7+ueQXWOL1an7XMI/0xoC0Mh/3kz1xRwEq50W29X0Asw
D9rKhTDUDU65LGkO4EYTLLN4uJpWx62XcgE6oLmMazxKKu1BUwUEVPRiaqOTIAycmyx5ySgrGELm
Xjxk11b1GNCbAu7fvslVw0ECwHpSnQd6JWiYpgVBpw5h5oDsC3njtcG3yh9uYtN5NVV/gsA/tQyL
gMI7wo6hiY5N2QJPPuOtmQACDBQxzG3zFFPMEGIjWyDj1Usnyx5Hyhuk2pdReLxTfcaT6ncw+DcE
FD7Ec/XWqgaIPkjjNXmRfBmZNVV/FEUEI3eMxssfJ1KsDC2v9HvRRUi5xOjV2+6zbYLtwAIP5caj
iKIO7Etq0kxhU1EhVVfFNPtPieNvJCUW0Ny3umq1aKm3oFUKHhSFFx7FF0NLA8ZAFUYc2XRiqHaM
2k+fatWXkabdi02BBkT6huIxKjWo1jANKzxGaXj2IxGtCuo3cHd1S4NCjjbgyGyp6DCp6tBVZwfB
Uh93oqzW2Cu+FaF7HwbTFmTTuM7L/EBt9ecx/UEk7mZ2CuaS7pn/titK7h+i99C+zRjBOuluQTJk
R3/MHxDFjZRYnss1CS1rBaEpWrmy/Z4b9S5xm63Tk3ntZBNu+IsnQ9brqmSDoKewN3utvTf6ZkvY
7YuYjK0f4nyoPBteBdmdriyxwhT5nUwifPtI5KKji3zGnDEpIQNfr7dM5+ZU+VkLxCVgezxZWzMs
b1IqnjOf0yyF8S3S4ZBEXbKMmuncsOfk4LrpZnz7mhe701cZls1zVHTKKuLTHelAG7qaFSSmkJKv
XLvTK7++Qq1h+WyMMZqRvqHvEFiYGXxPw/EjsH0dkhV4D712D24xPrVO896llNFWZXnnhv5Wi9I7
o6JGxoNJyHJrVY14Viy3B5uv06drd2fDygT/OIojXTQZa0x2ZTeKdRSIAXCsOy+TvmXBHOerDqHK
cia2L7QmjuOrF3hr3Z8eeaGpJUu0/RRrx6KOtngA9wWWP0cVyyTZyteCXZJPm9QDRDUywk1iPlhV
92zUDZbUiWr2fNz0uQcOMU7wMsJEBrlKLZ27HZiO8irnBXnqwA5Oo9wwuSx7ogCxBhIMA+9qyttV
FPsvFNfTINdEFAkCNYTbQOlp7nAnToudX+tnkBRfW6YIncDENLpIZMJXKsMJIv+eRGJFHxzIKUg+
vLY2cyXru7b5Kpv+kozeqk3Egx6HpO4noK5Uw+PNK9YipfNFB1CC4dHfgGm/t2XwUTusoTDx7TtM
OwhY/Y793LjUakZDK78N9Bn1kutqEtvKhAqRTMjT4BY3o8ZdHCcoaxTvC6u7BaPOjhjRopn0re9K
GL79s25W+0CMG2KW7jpNMp5/Y8Fa0imvlvS7ZTw3F6GHINWSnbr4V3F/Dpz5gY3doja7u8CUh6bu
wSozr4z+tJpnc+M4DU5QYw/toF+1ALR4Clsb3+5u9GLeeAUQaZ8qwrrS37OgNcENyFcLvW05oCnv
aZ67NZToE4Z3xuwdfW/ql/MMA8OZh4OOc5GQfrRMq5BQqBYrYdCWwMfGW5Z1mzSbbqm0/g7SCtZF
hczVrdvG06A14PQa8GpMXXXbud7jGMtomdsoeWNu+8BLzewlhQm4Cqv+e9JKal71p0wW+6Qrj5HP
REij3lXCzzQZ++xwYoI2qnM0jps6mR9Tw6T9s0+feAKv28K+a7SANibd/6I5zfNY4+XNI7A5MneX
+M2WnUGuHMElGtXqM7wRHXbSQEz7oPYpAAJ1TqwEBlb6BM9rSFcGyJmNNnfD0hu9dabHe4AzVCsN
+bway+ibQL5eTX05rtrGePPn+WI0tBkyLoSr0DRYSc3s3Kz6u0seBf9ZeupiKnYk16dVVMbPZWLe
lrl5ZcKlLaIUizFqv9oYAbm5HFxturQOjg2T51fjEpyh/PVxnLQnPP0PWYzjYiisVcXaifvicOlT
XCZi9hipWUFlMpF3DXyWtQ2CaCdUAMsJetbWuUHpye/OiK/j/w8/yr+4L5t/3rA7IM/UUpJlPpdy
zAE/jydY9AwxYSu7GPf54sXe9Lf1cl7kS//t4dqeaJZcl8tuFx/t7bCKduUmOuDFTU7R9t8B99Oh
IZgH/2bApRTt7f8ts7fmr6ZcvvSPKdf4DY6HgXkVZzN71l91HYY/ga3LxtVlqqTMD2eZWiMJx0LS
+R0tytj8Y8Pk0KxND7fvmFyEgC//o4YeYfyJm0Uchoylp4Zpvpv6IX5+G7lGaGRZY5cX04OnA21J
tRUoJVTRTcwxNPZDkG4y8plFXmBmRen/kpPdpDR34xH9wslydvFH0vd+mTW4eywcllnilsdMBUG5
Oz5NJEM9v4IO1LKa8bRu3U/pg9ME9OF1Mzq1CpWWiXs3hqDEF3yCK32deY5OsbZNV7Yx6mcq1Xri
ZqLfRkEEKt7m1l3oXUTfng/QrqkwBkwrwwtZopTEP3W7BNc05CvW+PD/GfGmCfqfA4BvFY0dO/Ne
f+wNbCnJtB7MrmVBIFJVLNQs7Mb+6vDvXFY5/9/aD/INuL1PcZv0TJF89akOWk9BSQFeTvlsNkV7
LtXBPqu4+rKyW5cFXX268qDbyo0eKF86TwJ2/VjVcW9BnVbudTSaC+U7sFRAFA4z2TpHPlDEDQ0K
67tD4XmlvPDkO49ipH4BOIgSpXHMF8o7PygXva+qfNJanqoKrlA6ldlm7jVqaOyDjQk/T/qrDxhQ
9eDa5JCNnasc+xPW/Z6NS1jM51l5+qVy98ukecnU81mWqrqsOpJ+4tmrMgFhiqdFpQRKlRdoVXKg
UhmCzHQ4OZy7VKULLJUzMOdwXavkwaCV+BowjrC4gbUPcJSQQqnnVMbFF3S3G0ulGHLiDHXPeyZQ
AYfY6Raeyjzo1BGvBTNRS6dzSyyirq2Ta0esBv2STIfKTqRGsYIBtG0S7TYdSVfM2CJ59bjaSM+5
mo55otK9XDdTPy6FymeYn0kNldnIVHojSXWX/BIt12GLoZeER58Up1AEr5PKfmSatw1b0iB2pz8J
4iGJVbsrI0uIypAc8YiQhNROG0RKZqIlNRGTRmVNcpU6CVpnH9YcFGxlj51sL3HZ1tpdWbrZ/DGN
Wbpz2Xz4afVE4IPbHPNNq3ZJhcQwkHT+lzLVr53dfPOqCdMjNOo53CA4kmQZDn6nbRrdvCmz6ByX
5WFM2nNRZrcYW1J2nWDTskAOeyewv8+OJpEaB0tsYxm4OESLfr43nfkU1kh3BnfEDcU/42KwHL6v
2LIt2g5K8KPkAfyoddvYX1olCObSfyyQoqiUvGnMBnWxs9llWFCW5lsGBhZurD4mW97xsGM90q1M
OuXoq4CQHaBIWm13JDLAfYw6b3B7Vxe/EQ1f93M14rZXsmakBE6z4UItctxZfmig8Ckh1EIRhbQd
7molkppKLi2VcKpJ3jlFxcawULJqjr7qobO6ovheorvmSoCFdP40Y4O1jVQxORFpbSXX6k3gLti8
vnu41o+UgZ7ikXqUSddvuWXxYXBr4wLjEsOZO671efiQGHcWuTNeAftWe6voX+mC3tRCf5li9+Rl
9cZv82iVIwnT8dwKyJrhc4FRnGUhIpU3sSUqV3rV3PpxdqMTd5+VTmfXwTmh4WEVO+muxEDDHGI/
emxj+c5gsHzxgJfP3EZ2CSe1NiqS78m4rjXzNPIxuHVL/4riuhszEROR74G2/g9759UbN5am4b/S
2HsKzOFiB9jKytmSfUOUpDJzzvz1+xyFbssqG91TArYWmJqLmbEkFnl4whfeEKsTNQ+VSZBpqJdY
9YxnBcAVVTocGeQJAb5M6wFFdNLtOWD8757zGOTWVVVrVxFjwjmgTFUvjSkP2hdJrS5kX+ItthGc
PdcqJ+3YgYdtw6Vf4CkdhDGl8xrLRS5n2xgzGAbq84Z35sNeBiMftMe6pKRzXuiwMtT+qk9hRyc5
yKgswCDLJt/oCxzoMWs+7MFluRKQePxRQGTDJ7C+wdUPDtmOkVqj4eURykt+ca0G7tLECQMogNnM
e7rBE8erHiOVJFqqtGVpWLAPiuLUq8iM6WJfN0Z/gjJNiJ9VsWzQbjKi/Aw78/gwV7pzr+6v5CGb
S642LKCQHGeFs5IUqbvxx6FZdI26iRw6spVlXWKZTdlFqBL8J556jqfg7fwmnvraPGwJpMTf/BBI
AXhFKZRy3Evc81eDDM0TzUQBCb8HpEaFj/BbIOXwE+CxIPT/ZCO/BVI20B9gsA4/ehZE+UeBFACg
d+VCGlfw9S0F7RUAcjTw6be9C6TiGiABU1c+r8PsHu1HdLQjTTpWpYagCYu7SwMApshMnbM+cqtF
xsyf1njHlJmB/mKKLB54MeOkLGkTg2ETUhLmsu2a69ju89NylGAW4hVV248K7QZKAB1Nc3aJ0ewO
HddeBBYhFqXwJT4yAEgdXAitTr/t0nKl45Z6U3gecI48f4SQwv6b35YKdm2QIQOMWYvHeEAjKav0
lIZRt+rzvsfkVpi+yNi/KKGuX0iaeeyanTOvnz1iOsmdScI3JsZAZsBIBkOmRzexuwUoWMgz8AoO
kU1ExyiTrthH4gunps+RCHeaWCupFyCbMHNB1+DQihRH6iKl3uvlvMTgpsLoxjcg7QrnG0iS94Gq
3dSZk88kzHHyyMAlZ/RuyzadB+D0GuQf2f2VFWnlE8jJdBL6/irCcieVw9PKVL8mWPGEo3OjgBLB
MoayYKnKN1h9qJORl1D72OIiXwz+v4YwIFx+Kux+7A4UB4rKQGcMtCJ1+cIW3kC+G1wGDm0FKens
7mgY5HJKN/27XILNNQVBNzhuh8w71MLqqjEp8PWG3II1SKqpZcaT0Iwl4Kwx4k2UkWlmUYJKHZWN
1YHVFa3sDAUPrITtc0fNh2VMI3HSmuEhnTSHzazcqAWmw6hxe5dSQ+tpDIxHB5G+s2JQv8c4F5mT
0sTmme0XPy+sQCBQYCXpRoY3q40kWqRxmh95gKR8QlzE3+xzojVEbE0H0cQh+44OqYbQQnbUlOpZ
nuV0bAjW4D3o5URpCHwVQ1qGfUtJVGm+mbn/JYqIEMsGV2fVTwGUERfj0qGCu8RzmprpFyugeu1m
D4nnLmGP6kd6Kl0qdv5d96kx+P2yoZU2TSOznMrAvw7NuDjMzeSor4257mnngxKdQwcTvARKXHIW
3smde2skaHXUEWwJX7Juy9ozuG31xM1VUMJ2g9lTkQhYhXyVDPWRDNy0iMKrIMBcs4m/dnL5gL1g
RicLTNFQtWd2GTUzojigx3J6atgMrqFLR0jV60tTFpkANpQzarIncqE82uqozap6uMs1tUHkK0dx
b0TRp0bBfOjbwwhJdorG8lkXdw8+Y43sd461rxkUmLvl91qanzoUUkw7W4S+Vk1s4Ea13C2sEoqH
FHcFbTjwtVGIl9gQFYBYYrQFBuNJmCx3BUrGiR2eFG6pToM8iaYA+5awSb7ZYXFMoftWicYvilRd
cn/ArTk6nc4BLMfpyw3PvLHtZg7lXpvy5AQ70Cu8pb4NtZOfezpZFly7/kiKBukwS8D1pLimtVFx
rTfSxs+jK9tMDXIkYn1qvG516FpcZSx9Y4Vd2rx0QTOFmhQfJol6GcpqOrE1HTFMpRonUmZheJYx
iQc7bgk1rHMKSlQAuyyekeBFk95DMUCVaZsY8iMqzeF/ztkXNIrx27oF6SPyYsPHzpz4sz+PWhgk
IF4VdMR0Cg3vbE20A5pyxot8ByWn13NWRx0cnTiLphwigMI5+K+ChXPAv8syehvQ6GRO73/SloN1
+vM5qxtg+7BVcfgvbkXAOn6AbSDb05tFUSUXqZLr+mmlNmS3QxPICTiKoVMd0K5tCyrVyh9JLL+N
2egvqRJf63CzJpr1MLRwyfLGW5Us5yIPUo5UIwbRZp3JtVIIHjzWizkoSTdDAoISqL9Qc8ri6Byd
SZIbCTBePUV44bwa6ifJBLRuON2TjhbF3M+qaeNQfs7s4LjXEfbQnPBUyouLUs6MWeZrI9gvs53h
1hBPrKEENyfOoqZ8aIN6MSYRjoSq/SD1ysLvagUYoLeyrPosJbmltyScWYruK27vt3E9xNMwUq41
o7736JouHZuMVdE089wLCGMp9qDuYETlXBm8tYUdxrIyaOfYNFsQ5D/PhKQnEqvXoDCKCY5Ul70q
HyWysdHrZKmhBlrpwbEu5EFLSZr2gBZKp+a3nVUil/cNeqJZT+s/FQqjlXnvhA9aR4KD+Char4+l
Wp2XY3BnIE4a6TYEBE1Gr9QwL+AdkCAiZZr4AbYXtQSmQMI5k6rENT4EZ2grno3PSqgyJhyDUEc1
Cjs5DJWqgNIhrNplwhGji48LYXNiSD5E7V45Dn3U3vFPMReFh0BS0cgA+vtbs5KO1I52HDZzR3YG
K0N2kvN8AJ7PpmoflnmqLtGRhTiH5mspKuY55k7LyPLLWSi0Yc3W7edGg14shQu0YWFPlF73xUVS
NkZa1pQbkFEpiGfJKZYlotq9qtoY5EWUr6lu9TUatXo3YtWFbC0OvfjEq5K7ZKG50w7hNcjyZ75Q
u+3r8iHECxk05AW92EMvpAtiquFSRyg3qfWVo/Qp7qHmbR0WNKC9LxXSuqbQ2I1GRGgMobvbCgVe
7J3v0xB5Lk/Nj1wrv5Ma1HrjqruVhH4vfwqJXGj6ai3ivpKK2ppqUkZTOP0rcBZBlp9SYD6PdFCl
9dAjFoxqcNO33bwXQsJWBztcCksbmbAAlTZhTVpz4EZa2a9rF/9fucrJYUv4nVoU3jXRzIqDW61G
XtOmIz1nrc10IW5s11a9TCtgsBjo5KteUd2phtzZkHfoO0vggkLMKUYUkyEY+vMhLZBLUZOzIOVM
wffRxFBMSC2jueyivRz1BdGxJl/r2pE0fI9kcZR62Etb1VwTAs6+b81tlOpA3H8H4U+Fy9K/l6P8
1UH+We7is3wYqJAgUQosxZ+bA8jhISmu/KZax5CCJsFwCIH9SG8c2gRUJ8lKqUBglYihyPBdrcpv
ntQcd1l9GefSad2GsIZSOG+IV2sOtShF6Fkj5KfiwkGA0Qi167Kuv8MfSYA+d+os7q11UJTfwDrI
VNvwGlCFbjYiAzgu49cxwfzapsxKYVVxiok5lNWkRXq7xnUKaJAazNiQjysJfW6vapqFP7ZHtdDu
VhHxNv1+TR+NFq7Q966LCjqY0Pyu9GJlJkB5aO5DBu2vawPnnj5M53HvdzNg2gjppEbJostYErZ5
GpdgD7LePctijZpN4/Y45nrXmCSdZ7lz7bj6SusHbKBQT6cHE1+5eX7meUqx8Go7vi+7Co/3DsAa
qlDk+WJhG+EdChE18kVdtGBbJTlQ/Yc+zejj6sECB+0jNvSrQc/QqqfWCtK3ucRDR50EhgE8X2ij
03SctpWmIyiW3eCbe+S7JBkQBKEytJeBQY6jojTuBkRcVlYiuuPF/G3bXhtmaK/guT1Q4YTshpn3
RE1VHw/XQiIdkr47Oo4IEGWDpe1Il/hzP5gaa7uILZtUypam4MbwAsTs+0zG/mVSZsU9wg1C1RtW
RTL08OxUjE98mB+zjD3byFN5EQZyvYjr7KFxaFHlTCQkmRZD7RFt88onHHfltNM01Ax7cGUOWM2p
2QbmIaVhVA50LOB9qtdaZiAkpbe3/hBddpyJ0zoElB0YqFXD4/XQnxuYbrYVzZpQKFjHRHS5NIJm
1zGskKjNwXeAqyR3uCtEkBhqHCXS4cnIjAvkLjc9tSIYxOG9ie8ASnugos0mPVE0ZGfQMSdelhF6
sNKVrCiHdZyXU31Qm3lky9k9eKv4sBqLW01l4WP8cieBqYdJ/dQV8cJxw1sOe/k4MIEgc/4fVoF3
Tmf7Bo25lSZB10KmrofuQGl60LuVa2iQniFeZC2Nd6Al7Uy1rMegz6RZUmbetMjycTFk9pXiJsXc
MHygz2OfzvMcGY02btxDuRzWpsRkqP1WXQA0uelTjBlsVzoKPG9dgnH1ABCAEsvhLdArTK38IotI
+zJH9uaSYjzmKDEuAPZ/1WXw6WFhXsiN+SXTzaWbC19hT/seyp3FHkszUVVLf273qb8wLYR1arMS
drwD0y8UxMZgwKR2VL6apCH0IoI5aEl43hK7tj/giRZaUGpMKVzLqXoKyhy4RuCGlMLz46DFOhU4
+3IY9YZUDZpoI0erkILWNLBB6ss1dbhCJb3NwjKe48ry5HsSqaftlQsaAfI0S9p2lsmA2yPE6gfJ
vANeoMBKRdEjKaQbuOG3WJSgjxw406yLT5pKoRLX2DUeEBkWVLp/XZsQMNDlOWwA6E8T2bnFJeDC
i5EfpfiLOlEu4QSGlPpUA/DUe1I8oyJ/KBE5CWETmc549ZB7yUUP0N9jtDhCwA2aMsRFTCU6iqVS
bn43ZQBMms0hkFAfjZwIQ0jqrmqsPrZDeexwkk8Gy3hEzniJkAmJi6ccuamG5/FIxtqb0Z2XkIkX
PWmTjb5QKCVgoB5k2zshMMAeSoc5qDThUS5ISnkT4rMYoEJYwJ+nvPnVQzsFPkx4o5S0oUAPX1kJ
OamKUqHudHc9MRc8qBG34jxL50WteVPK4lTQo4LH0SE82V2pz8HN4A6cXdj2IEBKRTxl3X03VQvY
DUiwOS4rC7lt7vOWpeuXymXspUL2STvVzKAWcpXlhG7BNWYGBtBLRSO87Nmny/SUMgo8ABNjYrt+
BEoCjCuo74oePm/SyLdjHBz1Q3yj6lIy6yq2VEtGDZsijE2DmyIEJKYsbk7yqlykMl6e6KLB3Mrl
jFkbbhzBIGpNCjN9uhmTEqYUvFcP3TZVTe8Rq5jVVnibt1SZK6I8K2Lr8wtmpu9g+pXRcpgVjbWU
+/K76RPSWVmPJg0xXxuidgUSDSG3QxdvK9gMa9eOHsK6Odf1Aq2LWpl5YF/g9nBSasVqKKyr3lfm
vYErqltk130Fn1p3MAKQZoUc4g6mIXeN5tSgoSCB2SDkmhPwx4dNkE9jqjIwH0JlmBaepUaXcTqa
9wMsKPuskIA5XMZGnbezQZShjVw6+k+t96XWSwX2173zm4a2+WZLCspfvaWgqK5QFJXJJVXSPUMj
C3wDhyqYZEK9tHFjEgLX6Ne/ZaGaeUBAJJJNQ35zonqr9hoHUBgATFAe1jXKtMo/yULBgP6UhfLF
DqKQ3IOiI8Ag/4S+QDdQLtIka87GmHYzIJtvEB59Af7DS72NZ0MZ32Hgg7hr5p4Gpd3NDKXDcC5t
L5IqO7QcVBEqQ0URuC1mGK4fY/ZwOlhjR10ouKaC+dQSJELiaTlWJLDJbqeeYoxH1CKb3jSp8vO0
l++6EbRlpd87BQ6Mtu/oC1fglxxpXMS6JEG19+FwQajCTQ5uUh5+oXH+LR+y29YntcrqKkdf2fxS
IvCe9uld7Uh3bjoc+6Z1Dob7tI38kzoLvlWZTdjrWBelZjzGQLTmCQ8GzBqBEVWlTKhkX5NBHpBj
0jDMqkkZi7hbIZZyO6h5OUezf6HrAL3VEC40rO8YEWv7qfAhfdmxeVLV8U1Hiju10TM2IvsqC5wn
GqoXdCbxssSqayJ7YT13u+7Mztt7KryPbp19dQv1HOjVI+UMYLFR6c2btLNWlZVcQJRbCTNTPfS+
xSq0vDy281lngoLs8uyxUxx8OlCiSAZQ/DmKerMB8dwFeNxyCpLjBB2Ao0J3T4gNZ2OQl8QS3UIu
uyPPcVaealwh2/s90MONlZQ3GmV3mIr3iTfCJLO4SV6SI1Pk7jogkqpMsqb2hXlpttWp7/TfEVbM
Zgh10hB35WlTgsSFR3ane8aVXiN1bgfRje6p3xvVbMEJij83iOMpgN4nwOyqDJAVpCBijyaA/F6H
S9OMv8IqiahVNGdI+MlQ0ayYclttTGRdmphjtJCtHE0BW14WtQ9qK8pBe+W8NTp83VSlwk2IrRGE
2AsTmfWlWxFaED0dUZZAyRQFwQlA2SsrBlOUIjfJUQb8yRWJLrAJue6BRY1VCBKKGWdYnTS1Rybx
UPEOEzX35l05XmceMkVNanPitgtXbq5HWzsKOnqzloqbYlW4ILliepBtEz3WWX9vU9BCqCZ/kJUM
38XMnZYdhcZODqCXlIgxS/5KTnGflixoC7KcLU2gf4qMoUMlS84KOdIB5r+9ScLihMy1hWgZ5nQZ
6kPTG4aZ2tBE4FC5zQoD6giNbWZjggJh/VA1DplyqYBcHGlyU3lSj/U0Smc9rHDvMFYdX5tFUXen
2lHZzkup8oMvDINbI2tiwc4wA0NbmG4ipzcW+U020+ucArFTxpU/JS+wLihKBebFUAT+hVb03tcA
2G8VM4UmQqXnLK+AzAILmdodeHMQXL7leNd+IZOOOEZ/KccSrrtFoM0hV2uYp2J3OuttVM0PG4zP
SR2C/lnYSIuTWTVogHtiQAhmXyDFpKn3USfLwSndAMGfjX1l1pvWo+whMo5E7VDiittRBYPnG+lG
MadqZHk3cm3F1VfVbT1OaI1SPwdtYrrfIiPw9VNZBYs7iZ2+yf9Tsn0t2UIt+N1xSaiVpNsOTP7u
zwPTER4OCkoFqgJeUeZHbwemKh/gFaGYlqVS1X13YNpYy9AzlRUVG1JNUTnG3g5MvGX4Bw5N2IMk
lADD/gGbwhRaRT/x+3RZpkurqI4O5E1oJvxYtlVag2mRJcn5aPhHGoI2eovXb89aGukQIftN3QpX
6lM9j8n7NbTGG2UZ5PW5j4QvCjMz2LeYFUpkN8pRV+XrqNG/uhVQsLQ+7UcFGV99NfpmycGSDVPf
8r5CobvEVSmam0myhi9iTmk1FRM3ZmaOrIPjZAAoEUccEnZS42Kl+cdNk9knKYhj2xdweRK9yQjx
oHSiBxPzI81V6FHib4CsyiR3wvtOaYXlnHluUythK4EbFkF4P8cq8MnMMvJuvOEge1sUqdpIOcSe
6qSurUPNTW4oRm1Adp9C+RYI4ZsOXCteBN4S7Z5j0xCNpNY8NzLrKK5xvnd841aTpBnKj98631xU
LRtpqZCDd459oTsllDIAd110FnbhIpcUl5gVmAZqb2gHlNIdEiv5JBvzmWyEJ36JKfeYD8caGrOH
8KnQao9Gis6mkyyk0PnWc4YabXOi4894lheXwNkWCVnpYCnnlgFDQuuvBgU4dAjRUAOMqymg8WLp
vtXdOyRAF2ZDNdDBxWDF3vMQDM1tjjD1LBlpqSp9eDa0DB3WGZdy71LGiczkS6EfmkNl11TkPQS1
C6s982REKKBaTFCb7qZD01772NXyv4MFpYJ4Vhfpl4bbcAtkAKKAnBYhpqUR0G4tbQVB2wF4Ge8h
DCV2ONmOZ9lg03YatKvAxvyuc5/0glMxMM0bPTOvJGQ/plJtnjgJAU5jWD4mltTJg9K/kqCYGGCk
IHdSquqL8MZ200cbb7jUTUCERE9hWn7xHCIwUzWoo/BQq9xVOnjgnJIIDnlTS1UXmg70JrAg6GRB
BHutmY3oQRljBOWhXUUqxrpp02O7hsskiuL5TDfh0nB432d4dDsQFIRXAvbGMfUzzCnhw/UKVLmq
7Gl6WmDOejJKxC3zU9Axt8UYUXhrKFDJZIxZAAcIqJMN3RJBp7jMjmXYhSd4T8IUqO4D0zqBpHuV
tlkwtQLE8iRlHJdJSkEsxZF84QykiACLvuVpcW23vHij82YDWtVy4z65raTMtNZAocK+ajp31WnA
bBTXPbSI+CYGk36CW+yiH0HCl3h4YwMXoVzUEYWFBXIQ0jiswYHiFl1JVKwY0UktlUd1K83kCPeO
AUqJInSPSQ6WKBYk8yG6Qh9dgYGB89u4pmG5rlvzxuvbmygGXdTbF/RFIfp5I4U1lXKIFkhfBpu2
Qx1bc3+sF/7Qmkdg54kERbwE+4ginjSsea/DkV4Z8yxHoAnBWG2mSvpG7avTWJZOkfUCf2AP6Vwe
xjW4wtWQ18Y0M0GlyVYghEgtazKU1KzUortOrC5DwKBWlq7qERVqVCW7Nk5nXcMM5N+/qzGh0mDE
LvLSFJTsWLqiibGpEqaEbiYBibp1m5fFWRUDYQPXsslz+dzCjaYKKS1icqLPCYAhJyjhAqOS8sRV
5GWPJhKwtNE+LlIeGj9UAJ91+lVP4mxBcRlD1sDGhKelvgGRe+Xig7PKlGFdmFCPHbZGylGLAtEE
pJj107H2zysMVgnxZHs2BNp1FyYdqKzsoqjkZVjqN/nIXpkp14pXqNNstIkOM2uNOBuOUj7C9Tp6
UIFsTgy5ucU4RJliVFXM45DWTGkwqaPK/dqa49eypuxe6d7Ki6UViLZGqLNEE71urnMbg6Ay4v1q
EkBh2lXTznIxOk3ooJQxWwUqH75zzka39Aof1KBe3SBs8SVS67uyQNMjjpo73RnllaJ2CgVz1T8m
eoXqY/vGFBMzQQQvUFhRtMOyCq9TU1uOOTo3bqR87SLK/k4cLozYCRGFhH2j5SaBnfqlNS+76mh0
7zuaZ752SRNmQtfrC1Wm20BLeDVpvcTP5UzNaRbmsVKt5NDcKGz0QJ2dC+q6LG26lSsJL3si3zGY
x1aAd5quz3BuP6nyGIF0dWX1MdsvmmHjoFwjzXLsZ8OIOW9zZ9W0COSiPirqM6GYXxswvD0YJ/DA
0a7PnGCpFiV83TK4U4ZxCQI8PKHToixGqTx1BktagL+NFlrdh5ORjiIYGMrQhpvMu9w7QihVmlam
7UNDzjz6D3gwqSucfzd2kPinXVoj/Ua5y7DuQpADyxIOBvDDYhzOFIrzU7/iPVuQuVeeXRNU4qfK
/nXkopx3rmglRrGjNK7cqtYPMSc5gy5l2+tGH4bl2INP93O7mHN4hAiJeovEUE7V3DhkNzoySbgj
W6e5WNM2kkpd+wIqih2iLei/VdKKKtSZrlfeKvXlDbJvG/CnDxw5IKL9fjXI1I5ti6KkzKNzj5Wm
ZLOoj1H4BFJkeP6STA4mjwvlDLnTe79P2uWg1OG8K/w5yAaMqmDkmK0kWHzmsSeMAh5q+UjR3Suc
JVeS1KkQk0muc5w+gyZRpliG3jL8nOJKvAHZedSChljkKPKUlbkM7aoCr2qlC9J9UqlSzqGiQYRS
iu4+rXvaXvG1oQ8zMzZu8agikwhpnowR8m3mogzABLNOaCH1C6XOMSPSH9lcL2qnS6cAg7DYMYsr
vKsWbHBYr+vCOVQBTOyD27bAU6VmDa8sTM4tgOaTyPVRinGiYV72NfMBRwp8/UYftBF2Qj16Mbmp
V8BO1fVY0ZyLuw610pDN2TbPCHLvyzI/6a3YotwszRWE0ozOBpoV0tdBEq9oj1m5K0uFXE/l4jYH
Hwv7HPV9haM2Uk4Ctz524+zOyJV7aAmcEal1V6n9aUb2g5qUQzdZQifLMbwvlCNSXIniwzE4KvXy
lL7MIu9UWh+BDbQs54yWzNsmb0/H3p/gVfUQ68ZREdGerLThBE/wZjWUA3XW3jxNFBuj5ISNUIKX
aAQ0yQx9FWXqSSePx02pacgIgGY3ESgIuyS50GCs4T1mS2gV4mzb+nh0IEQlQPsq3ewkHaZ5BUoG
UvGq0lW6znL4YHXEMHbfXFg56FWnbLOl51TVSVIgFFFoHSRdy2ZTcpdR7EpL59nIQ3029TCeDT7M
WjoyAzw/TD87dJ5tQOJnS5Dx2R7k/0v18pV9P1vX63lKh2i4bDblcLWpSKGrtyxF/PQio696k/17
v/T7C/2xef7mmyHf/Pd/rZ+SIMV5ri6Dx1pUMZ9/dvj03//1kuDJP9dDn2/s+a5/e514zdM1T3yD
RtFTUTUdfRR0EPhQ9Yyz1Hv9saQIuTpDB3cqBO9JJn8Yo1+Nwu8f8GU4f/87v735D4PwMwD4Hw8C
KCPLoL6rUnF9/kCLej8IOmQrXcMT9WXA/48H4ceJYFCt/inL/zvPzwP+NQesA5VXbAJ8kp8/vOl3
j09lnAqACghLeRmfvZwJYgL/GyPBG303FHg32ajTILEuPh9mgnqgUu5gJuzlGBg0wHceA/UAXWXb
oJ3xMh0o+byfDsYBrEPDUCzEofjs7cYAhO9d+evvLIz308Fh3TvkSwqNH/ERP323O6KuhRAAJmLU
pfZzd9x9PiBLKiS/ER/9+enlAzZN1dHw+BWfvZ0IHGo7TgQ6gFQ6mfOvOyA7zbuJwBZp2Qil2cre
TgRajTsOgn2A7DoclF/FCmIQ+CBD87Ly/o+PSRbrz7HCBxDzP94SdOY8Er3Amqhe/+KEcAinwCbt
7XL4uS3wjwdBs0VTAHVU0RMXnw/7Iq0BjJcILF+Cs/2bCfLLOn3RRfgzpv9HoTPekiJgxDzlZSZ8
CJ1V4TCJCJXysv/s3yC8vp3dBgEgBcrwICeeP0z6dxsjIpN4Q9soTe/tTCDG23ljtOAz4OnwMhFE
HPp+ENg0BK6DctzbIO1nsLB7AE0+KbRBUQX8eQxYDUBvLM1gs9jLpxcaFrtNBHE4QCLV9Y9Pj3sd
7FJEVV9TzH0dg5eXs8uOgJCIjKArFjGvq+GniaCIw8Mxof/s67b4GsPtMggOu56GoRax8fPnwwGp
whI2FKT893VbVHaPEowDrAdEaell1xP5wbttkXhRnKCIzbxswXt4QH7GcsDmAUifQDuIz5YogdQK
ApuztzNh9zzaPOAdUzfRqVY9fz7OBJOfUWTc15kg4KC7HQ6acaDa0HscdLjfooB3y0HgaVgplFpf
juH9Ww5CfGC3QeCE1MkfUf1+GQOBJ/owCEKGFTztvh6Ru8eL+gHCKqpmvy2Hn/cEjkj0u6i6cIKI
z75mkq/l8F0OSgvPGxMusPkaF/08FCwKJHQdRgKc1x4PxWuOt8tQmAfk1ITH1mux8efjkqEA6YaA
mxBT288Ievf8AXy+0G42UF15/nyYD8IBlbauJQ7SvRwEdec0QrOETB/zALzl26R/t0kSODkmBrC4
Jrwdp/s5FC8b1y6LAvipyCNQANg+FKpGiR7mJiI9ezofhLvWboempuO8KYs5/+vqM9Q6TafouN/z
Yeecglat7jzTY16f9EOZQT4wdNqZZBV7Oh/U3cNpwgOK7H+emR+6lOwP6ADYSFDt60mh7RxJskni
U4fsB8/5NunfbZLPfrUyoHVhh7Of2+PuNWjzAHcbUXx9LcR/CKeRMAPiDkB+X6tuAtG/4/ZIX8qi
2kSl4edkAmCHRRRN6W1fp8Du64DNwCG1Jnd+OSE/TAEgCyRUaP7u6xR4Lf/sFiaoEJgRrH6NnT8M
gkKpiS69vrdVFgSXd10HGl0Gmgy2+QssF+RXhFApNO1vQrl7AoGRC/YqDMMrmGnbTBBUXYSe3o6N
vTwcNG58x32RSrxBd46c8s9HfX9CEkzJOJore9ub03aPnUmVkBCjN/caO5MmvB8E+YBqE4Rr7eUg
2r+qm7Z7EdqG2g52g8rjy0z4MAgirBb/oVwvPvt6XAq+/o6LQkMAQMYF6rUn8bEpQUUKWAOV6H0N
G1+xZjsclwLwqgk65xvMkUd9vyhUWJqA/Kg37WngJGwXd5wJtGTB7qHV+9qj+/mk4LiEVCpzmuzp
GHzwSvt3gDzYJJnEj7/KHwCDKiQQ1KP2dBBet+0dVoP2/IxwS0UI9m4ZMAMUU7OZIq8n6L6Owe4t
CequVF11lULT8+fnxQAPAMdR/ESclwh7X08IffcIkpKjpqqg214jhp9nBUMBzRaUx97mEq8Vj13W
xHMJGsnxt5n/IWIgq1SxAkKYbk8XhVBw3fmEQKGHpPJXCD9RZ3NIJUx5X5sRr29nt5kgOpEAWX7V
oVMOqMEp5Nb7GkDrO6dStK0BNXMUaL8CvKoHnBOIEQvkF7Nu/7IIffflALYPNwQgbC9JwrbePT+k
UQHcU3z2dmfYvegm2lIKdABK7M8fUrR3kYOgzYHtEmZb+zofdq83IeWiY41rYCj2q0EAGg6QAW3u
/VwUxs71BXYGeFAmeI5f9OZoQwCDp8SivERWe7sodq8ygPLSkPwByvYyH3jUd4vi+bgUZ4Wxr4vi
9cZ2Oy6Rj0eLiDbl8+fnQQDFwRaqKGh6/P1F8TeOkz8JylM/iJ/mgikcbKptDOZf/cIbJ/fjz3/g
0TzzTd/9pqAqv3z5C9tG/P9/vWcuPx+HP/z07Xh8/qbXv399xI9f/u7L3p7r7R9XwaZcl49YeTxT
o19v9GydwG3+n5j/elr/zAISxfG3f9tOs/4zavz91ZHw37xd6AdONlvKX4/6kcP99y6erJ+y8u1C
P1yc2bTzxSfYgm+7cTaAna89XcfrlldSvV3rh3tnvu9+fTTLqg+vlHCD6OYTLp7WJe6bWVVv+wrC
252/YraJ/zjLyq3jT1Sy8/Xn8R+zrGTyvF3rh/Enhdv5+otyU6XbLs4Jv/PFl/EmTd+u88ONf8Zy
XTXJQxY/1R8vL2gfO9/6YZJvymAdv13qr7sXhOzdL4/i+9tlfrj0Z6zY4025ZcwFembnuz4OUm/L
RqB8xlo9WUdb9jDB3Nj5tk/WVbXZNiafsUBPsuqP/0m9TbzZNjKfsURP109swG/j8MNs+YwlerrG
6GfLtT9jiYprI0215dYFpHLn13q6SZ+yx2Db7iW0TT7h+uXj5untQn+NuwBJ737xjHt/u84P1/6M
ZXqabR2Tz1ilXLrelJthy51/xko9W+fbZstnrNOzTbv+GDsaGKK/PcsOseN5uWYLeLvQD6/zM5bo
Rbx+3GyJHQWrZOd5eIGa1rbgTjTqd774VUDoWAVPW0ZGNH53vv71+rEkJUjrLWepaLJ/whekf0w2
6EZv+4LPWKrXa/EFZboun7ZuZKIr+ilPMQs23raH+IxVKx5iwQp4DKrHbd/xGctXfMdRti6abaeV
9hlrWHzDSRNUf5w/BFW+7Tk+YzGLbzld15tt1/+M9cz16/Ufk3X5sN4WMwjs+mfMJ75jijnDls1a
NCg+6xvKZny72F97qv4pC9tfb80JRWdh97unhrF1aD5lMQdVhClf83afPwzMp6zlLF5vix4Eomz3
gSEwSbbNmU9Zv/U6Dap43VRvd/rD0HzK0hVlli3nsOhQ7zw0Nxt/vW1oREF794v/1szzN/qEf6u2
9Vublt0v/ltR+10v/4WxbbatVdFs3nncv2bxln1eAOR3v/SvfdB/PybbyrJ/tjc/Fmvf1B23/dn7
WrT4jcd4sy7/9b8AAAD//w==</cx:binary>
              </cx:geoCache>
            </cx:geography>
          </cx:layoutPr>
          <cx:valueColors>
            <cx:minColor>
              <a:schemeClr val="accent1">
                <a:lumMod val="40000"/>
                <a:lumOff val="60000"/>
              </a:schemeClr>
            </cx:minColor>
            <cx:maxColor>
              <a:schemeClr val="accent1">
                <a:lumMod val="75000"/>
              </a:schemeClr>
            </cx:maxColor>
          </cx:valueColors>
        </cx:series>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C9379045-58A1-4326-A1B5-2998EB5B0A16}">
          <cx:tx>
            <cx:txData>
              <cx:f>_xlchart.v5.10</cx:f>
              <cx:v>Qty</cx:v>
            </cx:txData>
          </cx:tx>
          <cx:dataId val="0"/>
          <cx:layoutPr>
            <cx:geography cultureLanguage="en-US" cultureRegion="US" attribution="Powered by Bing">
              <cx:geoCache provider="{E9337A44-BEBE-4D9F-B70C-5C5E7DAFC167}">
                <cx:binary>5H1Zk9s4su5fcfj5spoASCwT0xPRJCXVvnt9YchVMgkuAPft159Ule0pUSoP60QrToyuuiembSmh
FD9kInf886H7x0OyWhbvujRR5T8euj/fh1WV/eOPP8qHcJUuy6NUPhS61N+rowed/qG/f5cPqz8e
i2UrVfAHNpH1x0O4LKpV9/5f/4TVgpU+1w/LSmp1U6+K/nZV1klV/ua9nW+9Wz6mUnmyrAr5UKE/
37vLRH7XhZLL95vv4T/f/5Us09Xj8p2ra1X179+tVCWr/r7PVn++31gHv3/3x/jrtlh7lwD3Vf0I
xIQdcdPimFMinl7s/btEq+DH2wbC+AgzbDEKKz9/6yWw8iaOnvhZPj4Wq7KEX/b0/9sLbPwMeBp/
/een8LB+GmsAAsDiz/cflKxWj+/uqmW1Kt+/k6V+elxF7+r1T/1w9/Rs/tiE8F//HP0FPK3R37xA
efxo/9Nbm0D+R5AzqVZ7wJgfUUFsimzrGWM+whiJIwYv22bWGOSpHL2G8Qb9JIg3KA4MYW+VvLvU
oEr+fpAtdMRsizGM+CuCbB1h0yIgyCNJfhNTu3HeXmIC1NtEB4b2F53ovx9oAtLMmCUs0x6JMYYt
wCyGEEWbYjyVkd3gblBPwHXj8wcG6d1SvZsXS/Ugywf98yH/Pccw46bJOP8hvWKMLT6ywBSxOYF3
Xp7DGxxN2W27Qd69zAS0dxMeGOwXy0JmutyP/WVxCzObY/PpBaK7YX/B2SyoxThm5rNe34T/LZzt
Rn5rhQmgb9EcGN5/pctHXUyRpjda2/yIgCltYg6G1gbM2ATdjbEgpvi5DV5K+XSGdoM8op8A8Yji
wAC+X4XLdA/ibJlHiFFq2hg9S+sOPY6JhSyKnuV9dFJP52s3ziP6CTiPKA4M5/XpdAHu4D7sMHYE
mpsx8KxeMbjBc8YcgaU2AvlNTO3GeXuJCVBvEx0Y2k5d7cO1IuLIRiC15mv+Mxjetg0ijfAI6ckM
7UZ5k3wCwpsEB4bunVZ6HzobHCqLCCoYmFhPLzI+m/ERQza1QNw3ja/pHO3Gd0Q/AeARxYEhfLF8
XBV7OJUJBRsaExvM7GeEx0Y2WF8mJYAvGnlX0znajfCIfgLCI4oDQ9jVSb0XN0pAcEtgAjHOZ4Qh
xrVpX+Mj0+SECguiJi8t6+kc7UZ4RD8B4RHFoSG8TJYNSHG5F+8JgRwjzH4o6i2QzSPK19vAoiOQ
38LUKzhvLTEF6i2iQ0NbQwJmrbHLah96mx+Z63A2IezZxB4nLiA5hUBt2wzBO5tS/Ta+XsF816+b
AvsuugNDfpa883QBYZK9yDnDgtr4R0pSbDnRECwRAgHw9Enbj6zuN7G2G/ntJSbAvk10YJhfJzXk
y/cAOMQ4CWUA+I+oyVYS2jwSFhc2+Nqbcj6do904j+gngDyiODCEL8DH2gO+/AhDcpnTn8mNMb4Q
5IZQCRcQ497Edyo/u9HdoJ6A7cbnDwzZOVRf7AVbesQIoraNXol4rosLuA3/oJHsTudoN7oj+gn4
jigODOFFslJqD8IL0S9s2khgMKrHPhUSHDFwrDeldjInu4HdJJ+A6ybBgcF6J1fFXoIigCs1CZR+
Wc8u81bYyzyCN03Q2s8+9cjKms7XbpRH9BNgHlEcGs7LhwIq61S1nwPYZlADZoF3/PQaH8AQwYY8
BfwDUe71a4z1m3h7Be/tNaZgvk11YLjfSgiXlPJxDzVhhBwJbtqEPLtJT7BuaHDEjggEUzBiI7vr
TUztxnt7iQlwbxMdGNrHdfpNJ4/V339OQ+oZLGxkWdvntHUEJWHEBG3+LP2bp/VbWNoN9dYKE5De
ojkwoE/SbFXIZfL3A00gHSUwty2Cdh/cyIaT3QaLHCpNdijzt3C2G++tFSbgvUVzYHjfrXPP+ygZ
EhDixBii3j/8q60YKDqi2Aa5F6Og93SOdqM8op+A8YjiwBA+Uf0+TDMKDRgYPCwo6f2pnTfPaH4E
yFMKpaGbensqP7vR3aCegO3G5w8M2XVhjLOC7pE94WuDfEL6eTe+a9PbxCac3GP5fRNXu1He8csm
YL2D6sAQP1sV+wiV2GBOP9UJ/TC4x3UGEAtbJ7RAoYMD9jJfNZWf3ShvUE/Ad+PzB4bs5TLbTyYS
Q4GQBafwbptr3SbH1z0ZfBQLm8rPbmQ3qCcgu/H5A0P2YlU8QHufu4cWSGJSQX+lJ7YsLBMqPZFg
iO0MjkznazfGI/oJKI8oDgznM2i73UeSkR6B2gUZtl45iEE5U3gPRHysnKcytBvfzd8zAd5NggND
93wZ7yPSBQcr+MOQPyTP+nmrNAgfCWQjytnIyprKz25sN6gnQLvx+QND9iMYNPVeMhXQuQp5CGK+
Vga0Th8LiIZQc+QivYGl3fiOF5gA8ZjkwFA+X5blag+2M4QvLWhQ5+JHH5y5Ix1F4W2L05F6ns7R
boxH9BMgHlEcGMIX+lE//P1mFjSoW8KEGh5Enx3hrXSyeWRbGHosEED/0jmazNBufDfJJ8C7SXBg
6J7r8t1fKlglq33YWNYRtL5hwn/aWGNTGkElkEWgBxKO6h2h6TcytxvvXYtMQH0X2YFhD/VNEKNe
9X+/cEOHBWUwloCYr/XQQJQaWmgoGc+ReQtPu/HeWmEC2Fs0h4Y0NKzv4ZCGaUGCWTa00fwozR3L
N4RBbILgiBYjS2zdMT6JoVcw3iCfAvAGwaGhu1JwRMu9lPNBummdiGDsR6BrHMLEBDptGCVEjMyw
i7cw9QrKW0tMQXqL6MDQvlw1y72M/gKviWIGftWPnqktixtBtBoaprYyi9M52o3ziH4CyCOK/wKE
f8/ixk9ejwX766fJu2OYzNtHuoEVTalAz6Mk1sVcmxlFCHQh6HZF0O749Pr53c+T3V7OoXs2w3fx
tBvZl7Qbv/H5J/7+ofzXDWyDPBm0PTnL4ttyT3EPmPmzPkxfL62mgsM4Cehr3AHkm9nbjenuZXag
u/FXMLRwN+Hh7YF3p3qZ19PMmzfOiwF7C6wtC8M+eHrtUNFYQEhbiN01upBCfgNzr+K/tcgG1LuH
NQL6W2QHhv0VTAIL9hHNJlDhBe1tnL42sBGmdtowKoiOC3Wnc7Qb6xH9BJhHFAeG8F243EtnK0Q7
YdgmJZy81sqMjwhHJufras6XwbDpHO1GeEQ/AeERxYEhfJ0sH/ZSt8ePoJ9tLcU/rLAdqhtqviBr
gZ/P7lEF9nS+duM8op+A84jiwHBeH0fntSzfXX2TZbaPQi8bslSYgsMEgxzXr7HZDUNGYDKYCVOC
RlD/L1jbjflrC00A/zXSA9wFDtR+LYvH/YRPoNQeMpWIkx956LHUQ8cFhjIh0Awjtf5U7PcWxl7f
Ajt+4MQdsIPyADeAJ1fBPhTA05goZkNt/tjhZtCAAcc5/1kDuo39ZJ5eh31ziYmIbxIdHtjrsSTJ
frxz6J2CRBYUnPzoqhmjDoW9ULONIH42anwGXfsWtl5FfGuRaZhvkR0a6tVSyTJZ1vtIcDKoETOh
45m+VmcEMVNzneJkowQI3ErwBq5ewXx7jSmQb1MdGuLPAlXUw14ym5DyQpb5s2xhS8xhshjMrjDB
G99S62tRm8jVK4hv/7IpiG9THRrisoxlr+u/H+/1PQoE5qzjnxeigKG2ET2HFCcF+bdhYOAI7zfw
9Ara4xWmYD2mOTSkdbLcS6JzPZMGvPN1zcJudw3k2hIw+2CrL2cyR6+gvEk/BeNNigND+B4qA+Ay
oz2IMnREQ8k3BNB/pEcgYz0W5XXLBqRPwFd/GWR7A0u7MR4vMAHkMcmhoVzD6M90L9cbQZKEg1MN
WZBXJNmEWCpGiOORxr5/A0+v4DxeYQrQY5qDQxocrn1kRaCBg5jrufmv4PxUBr52uewtnKdy9BrK
G/STMN6gODCEv9Tf9tFjty49QjC2AMbAPb22ejhgzDr0b3DIm2yq66n87EZ3g3oCthuf/79A9vXr
6X7d9Octq+Xs6Y7AFzfU/f7dp4cDdxuOSH+ciztKQH41Op48/vkeqsWIDYVEL2pV1gttnqpPl278
hG6TagV5tj/fw3WDCG5Iwev6FQKFD2jd896ufrxFYEg33J0Cl+GYGNpsYRi7grvUwj/fr3sHbPDB
OKRMYcwRVCC+f1fqev0WzO5n4L/BjhLQ/EUswn9d4nitkz7Q6tdT+fHnd6pOr7VUVfnnexih8f5d
9vy5Nb/wC6GwBpq54bsgzEcpg4eQPSxv1x1i8BD+n0qgnCoBNq4aEcalFxHyIbDN40gp47ROghmq
rMG1jaZ3/KY+6doeOTrFdIYacVrZMXUzQtA8iPp7buh8UUdp4igkE0fTdBbV2UOAO4Scoao7f0Gp
rg2PGPXHkg/WbZ9G7YIW1D8PrZ6eRB3zaI6Jm7GmuLCxVTt2gMN5x9C3yi+/m35dHWetuixwhKRL
dRnPZFff9qi7YU1Eb/IsTdwgbrlnJqp2Ck5TJxGqcIJaZE4vMuGkwBXv4nkU1MYxipg/i1LJHF7L
R6RwV3tl40unUlFzTEs/cIJs8J2KxIET+wpd+TjSTlcr+LtQqGOGEuRk8PWDTJRTMBPBt8jCGYjg
TkF47gnSXiTMv4p0eNopfFwVaQ7L42WVkPyMBn7m6KqxncaPbrVdujHVZ41hWk5BSeTKNO8XQ4ik
U9TFjNd56BYh9WcmNz5kQ3kniuI4C01+YufDddHGvQeFNZ9Izh50oS9zZDOnQOEp4va1Xfn3QaMi
p20Lr4nF9yKzTsxaXNhlW3q4NKiLlMUWWaI/R21ySpX80kVV6fbC+N4FPHTrSsxl0ny1lVhliuUn
yAqlG6mKO4rCY2kSkjkkDMJzKVvmxHkpv2Klr3kffYxNljptqrWTKLubGVy0s1SrwRnK8hNtyi+c
dq62sJ7FgaydPpChmyX5R01EPE/NxHY6TgOvNLt7DdAnCW6IKxuzmqkBNS5NDO0GVn2dlUnqmKyN
ZsVQP1hZ9bkJ48c0UNbcJ+gx8+NoHnZhdap87PgGJ/NAsWZOO+K7Q14G8PW4W9SmKR3Tt9LCkSi3
vcwiJ0YtxCLgaeQSrkEQNP/eR9Sz4vIbydrQEX7LZigqY6+m5fdWZRS47VMXZD9zMxUnczkwh4a+
cFghhJtLkBG/04nT6HDwfJS7JKmI0/bNImio8ELeXZHGP8a2ug47dUVjfmIYcl7jkzT1/PZCwJql
Vd1leVu5tGfXcUo/MZFexSpPnJZEvedH3SJGyDVzCcM0q88sCU1Pd1Xh6CgTs5KJwtWiEk4VqbmO
swuM60VppB/KoD6J8+C8SrP0GOHSlbi/xklzbNVt7LBWwG7vuqs0wcMpN5MvYSkvbZoph5otO4ly
do5FeimrbJEYpHJ42WNXx/HgUFpJLwgRd40AyZM6kue4lucozb4kqMsd3pa1Q5H/wWL2p7oor3Aa
W4sw1sLrIkRdO7Rsr4ArZZ0wYLFj1NUisFLlCDp0rtGnty31Pw0+8JdndekMkoDqAbogTTonqBIv
i+ITfyhWuSLWDA9J5uQCH5uBHtywp7Ej4LG6TRV+wj65qVoSOETW/ayJSsuLm4Iex7n5HY78M0vK
cxmGzOmSlMC2zj0zlV8GSu59H3AvfM3cvEoMJ47Qrc3FF+RHqRMQdYONrnXQwL9TUS+qweidXHF/
hsvmpgjrha/wfROWF2ZjBA7L+KkswtzxWXqT5MrrmDROwzb5IO1KeWbVndKez5og6Z2qw7Yb5Uni
UtXGs8TqtDeY4cWgWsOxfd15RpF8Dwb/Ps8C4vQIx/DjwmzRhdFjkdlXgUbKMXk7eBZc7eUqiByf
tYExHFc8m7OWBc6QDzc9Ie3MaKrMjUVw1xE5q7FxLPzsTIi0mVtZcQrTU0M4BcLAzfO0X5CW1m5C
tT330/5zWpjzKjCXednJRYfD2uVtc0nr9AO2m/OBaSDFcmY11ryIglmj+ZnMiuOo9KvjATaR2w5U
OrZlLnqGHgaUXdgB6OxOkBmNwlmOilUVyYuqy5dDF8yYBOks+9qF0oUvmivPj3nsdK0/82PzmFWg
TYNqbjWwCUzQRwROCiYT7tmxStyuZ/dZLS8Gy17FFShKSaieNQk7BuHunGqQF4i0hdOV4qoQQ7DA
VvsxgX3r8MSKQFCK0G2w4YCg3RR20ziUDXph9sESzs5ipmVYO0bY65kJM++uODf4woCx0ouiLD7L
GN3Zqk5cPYgPiFVfojj0nQL0glNWsDUSliHQIGg+YP6N+LxbFKKYA3/fiijXjuL6sfSHxBERajwV
kuFSxZHt+Vl+DWfeRWvBe20WnlVCWU7VFC7JDD0Taf3o0zgDLZo/klBdRZEoXd/wY7dq/AuU0dqx
gj6cCy0aL+gqy/GjOllLWe763L4MmQlSBpfiOobUc10Hx72dhzMGetLwQ6c11F2vh3AhjehrzLIH
u2UuCdN04fvxAuwIwMBv7pCdITdvcnY6GOwkq0I4ipUVuwmYRq5EQ+9SA5VXYrC8oE+/x2asXZ62
Vx3zE6c0gnOTyNQVVfadGyqYQWDsS6sNNDPy1IaV6DIObdvJAuOzmdf+TcHVBWjzUvgXVhMuQmnZ
hpvUIT8xq1jklzpJdEidQppB4EQyb4YZVJrn4fnLG5o37LMHnfWFDMIf92z/+uO/7nUK/z5d2fzv
v1xf0/3vPy1Wel3ZXI4/tLajf33q39c+r+3WX3dAj6zh57u+XzGVf/vmm+xoBLbtr2u8t+zop/kA
22b0muinGQ2usAWNOnD1GIILM0wBb/0yoyEaArekwHU3DDqyMOQmf1jR0MMFhitY0OtB3evp+0D0
04q2YbYg2ONwuzDM8V4Xj7/Fil7XOmwa0esbHSBlIiC2Cok0C9y5l0Y08knVxxmDzT8YpPiARZik
ylV9irwwNGqwL6MSy4uSx+RzpmmXL8w2uTEN4gqTJKlXyK6SbsVMnzo9p2V+kupi8HrWENup7TIi
s7L0T1uSgC6DS3qH+Ean8aesTW8pCr92La5cRshlT+EYspQtZwPrpBPk4TfNYN9iU2EPJoKETm8a
blfVC6Gi2E0xWIwtKe9C5H/OhAJloM1o6L0kTIPuY5zo0k1lPSwau4gz7YWwKnV13VfqwjJ6etyH
0bG0pD/HftLOzEpJx1dN9g1Hw9cALHK3oqnvokzNQde3rk6j4zwyjqXMK6cr1DeTFBFYCD7xBiv9
IAPjAV9kqr/QVux1MJnIFckQu37i36Oc36TanAkwj6LhBlX0Q9uA6ciDmaWKXFz8/yiIL0XKhiEh
v5PBl40Oz5HjJ//wieqXEEIx0LoV1oQrt204w2HBX0JowdAvKNkGk4BDo8b6hsCfviykHdBaAs11
dwbc5g0e8E8pXDfXwYJgA3MoHIU5Um+RQgTfMZJCuIQSJmJQyICAz72uUngphdVAdJbXdXepWiJm
TeuH4FyRiMVuzNrmhhp2fxp1jYpnphlXXyptNR9iqwSrsxQq//Ti6f3Q5C89623HGm65ffLRYciO
ta6j2+TGUn0Wi7BuLnGu0GUQD+A01kzT0O2aSgunaa36C2syA5y7lFe5m0cFuJn+UDLLhUpM9Siq
yryCNcLaw0mCPgy2wdGip7a/Qr2BuvnvOcagDsfPz4KmVwgEQI0+DFeF2MfL52dJFgK2fXVJOjsI
PNoNyYcGMkpkXrFeg4/adyjyJPO5MzDaS6ePTbJIm6JHXtHo6jHsyhK50shsr6ykbpwqDc0G/B07
DmaBjsLruBanaSnC0lsHOD6WYX4WJy14hBIc0AswdJt08ftftRXfgGAJNPFCsATODUqefvSL+Abr
jaA1sqS8VJUvPuqAI+xYMYatkam6u267QtxlPko+//5r13vtZVgF+sEh2MMI3N0EraWYrNl68bW2
2QVWVgbqUvEBXaI4rC9VWbiS++HH338TiM/WNwmYt8dgkAREGvlon2XK6oe8CPUlz0xrmbe6SBZ+
xXvsxFk4A+smGVxi9ly7EbHb9D9tmvWm2PyhsFFg3KMFd1TBTN7x10OISoaBSuUly2N7mUa1vYRz
A3iwh7Sc0QJc/t4E6BdtkrfYyWPNVlUiypNW9NZ5R0lhuqSNdOxGTKUfSJFhAr5v368yo8k80xhS
5tpCW8WxTehQO79/eus7G8b8w/mP1x1HEIiDmZWbQJm0tpVt+8YFqv10KYuqDBxkxBXYxKTvVXDa
hjL+FnCRnXdDHs6ptjrpYtSw7xUbBu324Ii6lo6alSwIe2zsLGSnv2fSsrdAhkAfbKJ12g+6WW02
MjBowaVZhBW5iKw88wX3KhEOi67qiJhXTV27RZebN03a27UTglPqFkgtSlyA/21l2I2TPL3NEjvt
HJa0wac2SvVJX1aVk9l59oGWMff8XPluraNIOrIiUQtmfaku28wor3JjILMgQCJyjMFXqYubMD22
aZXc4ii4DnpFOiepWX5Z+fl9hVODeLTB8CBlj0E3WPUwOGbLo/MktPkX36yt05BydD4EXSPc1gyt
FC6Z6+WJwYseAkU9HzzU2oY3RN1DVubVXW0aDJyHtGJzv8zrE8vH+D4PURsvfGZAgGwIY/8b1LYV
jSNVbnytU5aCG1Lik1ir7ATlInmUTUZB7kka30nhd8xpcis4LfyidsFHyRbIwuIqb9NuZrVFPkeo
Q80sgcu6ArdpA56DKxf6s7QkhVdn4ir0jcD0ENLVMRw1uHWVGVGHVyz53KVmeIYLkd3ZpLIXtYgM
PC9pOiw51cUM4ljRMG9iHsyNrjOXuEza72WQZbY74MqsHRXgJph3VaRBONp21gdNzeeF9kMPgkTp
sYKPQszDKjQ86LRhTlRGkeEyCEI5TNvd4FhV4rukMlS6KGg8g+BYb960BFmeLAszcSLYSdWcVK0o
F2Bqdec0HobEv6nbvEpTp5dJr4rH0A8xHr6UrdGxFIJcBahy/YAhcFuRwqmrus7Myyqu0rg7FTIH
S1HUlX+SFlJmToQTfWcyg5xEEDOo3Row8J0+N0UHcKWce8r34TyskrjNZzRuA9Mtkgr5V2FuUqaP
4561odd3iajOaVkR2FGtr1HZujWchXNqhJF/1YDoUAg08IzDhiNxmc5VIgvhJDkcXv6sayR1DR9a
Em2n901lwd1vfpq6oahbf94mLElnpQ9WwdxWQTq4fLBBYyocW7WbhoUBAbqyD8rrUhppOtOB5N+N
umHS9EyNq4W0eM0vbcMP/FNFWMXsyFVdmQ89hAhAu4WzLAhZOvPLZsjnoiiVnPcJTftjsyzTzLVx
n0iXdXafLAqZS8MFWPEnI0sH5EFQIE49+J9pXCWRaZTwyJX6FKWpSE9IIapkFocVvR3qipB5ZGiM
zsI2LJlyWIjDauEXTabu4DAmp1Ew4HheZ8DBTFdJMMw46gbh8qjP2ouU97C1DRCVAmKRqD4tiG0n
XuCToPaYagBOyUqwT9QQkWGVxHABrceBgdQjfRpCMNiU1nEgGWQEcBznxJNa+t5Q+7HtGG2RievI
byPLJTKPBifNosE4M/3EmqPMD2xgV7Bshvpw0CehRC1EYoUVts76cw4SUijYPgHJ3a6VxgChLml8
LWC+cW84EuQIX6JByUE6vLEMct8nLa4vaSZ67SmRVxd2reBICkoWA4FICTwtX4ZIfRlQosLTvIfw
4Lxs7UGeoSqo7q0I20u781Pf4Qg277xWHQMnjA4SmK9RlHoQv49LCF35M4lk/iVpW7AsoiBq7kqb
tt+yIiTHDWsDf8Zj28QQj/FhHTvRUTdXRYMuhy4j1k1Z2egeVQZ8oqVGyd0K9aybNTiN5HHRYdye
KBaU+EoaTHxUZr7enFGUlwuWlGF53fVWxSHA2wI2YauAMQ3BVnQGJ5j4SCA2m85S0JLF2v3r9EkF
IQ58HRV1HN9iroR10llRW0O0rFobn2HfXduxQbuZblP4aq2HoXE6nFbDwozZ+sevWW9BPwFfWYou
LRsCqTd1bsOjgjBtPLgibkB0siSI5Y0qGIh8UYNVEMB7oFNxpcKrHFl9oRwCuQuAuy26+iI1wqx0
pFnn3byDoSxk1jc5XisNECYXfhEokE6gtZ1cqfSjD3ftnfJGSu7w0I5hX/QBXbaKABtdEfW3pOrM
8iwAMzc60xB/j+44nBaLUpnoMhdB/gVmGNPcCSGHgU81D0R95oc6aLy+YHkLBm5PFhmGx+pCIKx/
iJPYvu7q0tTHudk38aeWpkF5nPpG+r0fxFqHyDwJPfADOJlBtDws5xlNxSfD9NN52mZB7jAL1Fxf
tOGt1FV5JtJ1OM7GBQ5A7dkWHEchFh+LyGiCWYIViMkArrE4sZRG+SoFhdyfwu1FIBvtWmPPItuA
J9o1QzODQ6bNz1BRY+r6IqkaOGlJY4LpnUdfC9GIe6MHM/10EFWBHqtS9aWTIsSaE9liWKpLUTi4
VhvQ4CQDWFrXiAWdD7ppqgsIgiZ3UVNCdJ6Vx1baNfbx0FIAJzZROUDKKNb6QtHOOjcq09KzMFdp
cxb0EF10uV2m4T1YIuWjKRSoEVCdZePEIaSdHNE2kCNTfp/fJUGO5GekB8IbZwALrP+QVcQQsFjp
F7OQGXFwavhZ+y0MTKOBQGBJ4xMpTHTTlYY/LIoaEk4zOdSwSSWuInLdxclgX6Y0SxLIBjQmvbBQ
aHVuD9ZNOWvDDFBruZKBUwwsBd1RlskMdaSDBFmCebEYeA67P7a6gHm935sQB81Kmn9q7R7dR2EB
ew1OOvER9npaXiuhEChYnIloztOQtpAo/IJ53XLkxHHDPthY5a3X2kFlXVh+wpvb3C9FAYc77OhZ
JgmgCY5D351LUsX6nBVZSK5xZyb0BDJFAn5X1xnBRVwYWeulpQ86A6yxurpIEh/4L0QczMuQx6HX
dqZ50ucWyH0PSV/pWH7I9hMjuZAPhS7192ocrXwZrPzXf19Ic+0evx7SXI8HynS5fBmCeS4pWNP9
CqiII/BNIfcPjdHQPbu+LPBXQAWimpD4h6tgLYiZsBdRTagOg1AKYjaHugIOI0D/HU+Bthzo1YKo
A8xQgBQNpW+JpxC0zv2/9O3gG9Y3KBG4mQOq0SDsuukbRYURYzbg8Co1B8u/CHFlf+2QCVFxu1Aq
uNZGa58OdU6/0hAs5mNhqDx22s5ov4BElR9FaOk7IaQ9gO9Zt3pOFKs+laRGPij2hM1oCHljSxof
O0wipwsGy00wjl3c0WvO1aIO0FXd0HvIbi3bYFiC+W2BENzSkoNFRc0FTlJ5hXuWOSimYOr5Xm0U
4FtEhUMhC+AGRVO6gdkv47xo3LwtWqfGQemUkOt2+oEnYG3xeaKazjEU445dg7oNigKiM/5xltJb
q7FvU0mRF4Nv1/vd5cCLwBMNWuYqv8sI/hryiDjaL9q5UlHtBHgYFlwKcGgaDUUKln0bUXbe8PIz
pDLnMVXJeVroszqMayf3MfeskiHHKoLCgWOCu9kQ3zbglOXWkF0QiKs4g7IQFDOoDgJFoLdbq2md
IikhYEw6iCapIDlXOoWQb/aZ0LxxS2RmXm0Wq6EserCjumTGy/o4KaOFKSCdG1dexlg07w3hWlbV
ORzjea2rwA0jeAa5j1o3aLh9LBX8l9V04I8I/VFBJp2J+IZbocez5AGCGvdUV6FTVZF17tv+icyM
G5lB8rmxWej6qfah8oKeB+tIrk6s25DSe6tIIyew2SPV6mzoyW3Wc9OJTZ54SjH2P+yd25KcuLa1
X+V/ATokDgIuF5DkObNOroNviLJdFgIhcQbx9Htgt1fbbnev6H3573XjCF9UUZmANOcY35iK6lEX
kebzUQka92QaI1errRTWHAEIWVAejdHQqMeCdTJhbBIpncWG1f29QtkVWxOIChARqdv442UIuI58
0wV91Lr7vmTVY1B5c9KWw+0yjizynPyilqGMGos4SWGGd60pPmTj5O1Y3oI/cUnqt8ETs4NnP+Ox
3dJXWXG4jeufQcY7ywRpky1XWQpUAHYaZjd4WPXFHYeTDMubxbD3goXoScqFpu0smsgNy35PanPs
GR476hUnbeskqFr84VbwhD7XirCdi5gWcxZbrUjLqbx4dXV1wvaI2UY3YxcAIhnR6nLfTS2nee9a
VpJ79rsKhX3EtH+oR3Y1YnKAZgxHK8xSPjY6qbLuISj8D8yazy0b3uyseuh6f4+Dd07FWNI9yX2I
9pBnYk/jPsCx/iTphFds4TAxZjkktWJXfHgW9VP+3LReEVFSXe2M3jSemzZh+cGysjjQIYqPvJRR
5VQ3/aCDk3Lyo1/16ilnYRtJI+3IIkoeLTmgC8oNLG7QUrFfVa8TrMBNb+Qt7bJnoB0mdhy7jfLQ
3YXBcpKqPw8UXuDgvqAMe+0dFDYeLjrZt0UtEpmF+7zur50kW8hWOwcFSioyeR4w0C9SbqBSU6rE
tdGaYKGNjJcf0LY6R0FbddvNZdYd5pHOWCDUGFW2syQhmgjgQsETiGAZcY1yKWpE0aWNJP226vDX
c6V1Us+uvZbkB4sIesnxYkGZEd5V+dUSeWOLm9P789PSKH7XUiqPhVt42x5fwWaSltxRHzRAXeOI
yogDPyLRyPp811uOVUR2jkubmtDUKrLyqw72O1l383VV/0qGfe8Q/rAH///pPEIP/ett+tshTn/e
pld34d/bNMwNGIsEA7e930G9b9s0ZchHwz/EUWRQEL/3PXBW3ZqaI+ir8IN+yLC5/+F7oA0A+onN
NUA7H7j/ZJ+m65nRP+zTiO+5mFIKYBEhH4Q3V2H/O7HZz5tWzVZjzrODZyelWE39c+07dfaZLIvy
IKv0pNegswTxl51mZTkpoAPFtGHMLe8yO5+SQGXTroWuaSLMvPzIIU+ADcpeW1rel1lZ3ZiyxEO/
MDt1PAoyxSXdWTP2Oa+DIikru4qo6kSaD4MDt1+0m55BjRor6p2Woav2lpJ9g326VCaeWZfHRcHb
C55nJxpFeCpYXx5DJlTS1ZNJWw8gRt+UIPgqEFRVSLGlSxpiZTWH0hOnQPfZsRJ4tUsrLCMeOjZ6
QZthySk9k86hnydoAu24ceYypkANkmaWIm2CAdyMa71IRq81m9XBz4cHykBGZZULvUCwOuahsS5t
wT5OCkBZo3261V7xeSmK9/4kuipyR1rtp8zPTrVbmHdt1WcJVPgz7xy9H/LirYfc8mK3ObldZK/T
kckm8TtpwzXRwHl4qEKAfhndsIlYB7eeyckDw7kVuQ1AocW22fr+bSB5cV9RuZ9y8wBfRUXaVe6W
BPrWZ9hIw6xVMZw3luQa3f1SrqUEmWg0m9I60XyosP21ufcy1mjsMuKUxz4zFNBUZZkc1Ebbsvaa
496NUG3E2UDKgF7DacabuMBvgj4UWv21DsLGimzbtzzAGMZ+sOxBir09lsuhHVV4FaOpm0gvgeZR
iC8hu4aZRkEhQBqONCxPNgguCn3t3h1bOidfXtr/66vXOizp71avf0lQIJ/+1GN8/bFvi9d6HNN6
FMjXhcZZO4lvixeSfyi9cFwutk+C8v/nJiPEWZruGhX9QlV8W7x8sMnAjn0sDT7aA/sfoRPoW35a
vDwfrjDqJ9QYGAqGqfc/Ll7BzJtwCPLhWgAXPAQydM9YzY6Bkk3sDe0jA+3YFH25U9qXy1uuu8a6
HYyBkLyIGBqmvA1zkId9aW577h50V2lsy50AYmdgPpbU2gJbdSO3zlNejvkeCjeJeY1WAhoEz+Nw
bFRa+bUc7g2vX0LwWJHFfIiSkBmLuLY79zDO1nLwajXnWWwCI8BGl4mxMwubc/sZb/MC35NkW0M1
HBhahns58PGxDoPgaAtWngNHwWAQ9/Xg5PUmqAxJaxqIZGwtkvhjqBLtLE4ipbAjm4XQJMAYln7b
bxpOY6+3+9Sb6wvAujEaHR2mo1zQtGQ9dMtcYeWeugvtujDuVfPSTvxk6LTJiQHaa5+Jy4/Tspbq
RT1EAnpLVARBPA3dsFG4wxHPrH6Di/HP2aTZe7MUY5Y24LZQ5FrQxPOO7sJ2uMtL5z4oiBr2Ncut
/lZQ1exgncSqydmu8Uyn7llPUODlQ+aPkeNn7tah01gAQPQ+l9kw7dcY7HZQZZkslboxRXdhbn1Q
Mr80xD4GvZXqbjpYFUv0Aj2jAZJYAEEX9adJ2XeiD1/+u3h8CS+Qv1Uo/iXB4L39ufBZf+rb2gHq
CrP6nDWkgLGqWCO+WzvIb1AucCin9xXrwEL1DbsKfoNmgGST53igr75ECr6tHQGOrMGRJZgpgnnL
WFn+GfDxJ1sUqWYb1r4DrxB/J8iwH9cO3oL0LpxAXi3avHDRQ7cd5AdqvL2kgIILtsRdO2x8D1D4
6KeLw0+haS5TUEHrnipgVqKpooFbcesPdorgQ0q0cz+J0d4Evh7ikZsTwdbOLFRPgvaPIrDrWFJ5
yr0GnLDV7mTZvVZs5tFA3U+ZLbq4tiooD958nIPxUzmAiwxKvIhYhTfMgPWnRgEfHCyZtGszCokQ
9NYQglA1BN2XViZVGri18bzE5vI4zB5oXd4/OzB8E2i3nzRhB7AAa0Wj6oiPXRlVIHq9HP648sOb
JaRPY7YAVQxECUPYmkCL9vgvK0S88NqOqopnkZ/tHbCvxkej3kA9jexpflxyfu59dawB9Ob4TJE2
SDRUtn03iTIZOa82pbLPGbUfMiN7rEMoMnBUN2iPboShXFpB5LrOrnKMABBaPwVea8UMzOvAY29s
BL/v7aJ+D8vi0SzudOyD7lo7fbdFpwlfsmnfzxy6tCq3VT2xyB08aEQT1uTBAbSfZ8E55/aj03RO
NIjpamFI+6YshyWxvYVvlhCWAG9Da2vp4c6x8k+ezPQW9khMYXocNXvt51c4QwCV2WtnHL0dWrKV
A+D/FkCdfgxpru4lkXX5JvjyaZrzu8VB0sAfao1YAwDcAEVxccnwfAMPVWQ397a+2m0WXl102AcT
ZrEbYmWdfIbAhykikhMR525oLk6xQI0Vupq2MJafJjUlvqjyszPrN4jNgJA1DxukP4J8+W+L91VR
XZelv27xALa94kDy1+4XSx1+8NtSh2FmIHbXc0mBC+EflCH/LpPIbxhHilQ1TvogFIjp90sdusIw
xGlrMKB+XOow0RJZbcxW+doYkn+mxSLW9WOP5wUO+kiGKxFQCKH/U5mkeDCOcgz0lRDJdzXPtjnH
m9Y603HwR4O93O5O82DrrUMWZxvOw40qEN1yVPWhRbAm6axuJ03ubUKnNTGfmBMVbt7EQ+4uUWFN
dpL3AUj1hi2JNc3VTcPDp9xb2nhsHSeeyXKEg3lqPXcHdQfGlZVvG1M/ZdDYkJ0Jzktr8JLoctwN
sj/wqmhgnUAfDgRiD65/ZraLaBnqj14Et+Hkl4lqxW1P2lfbc9HFePxxrLw6mgAUwUL3x7gclzNT
/tOcwWmljvMcSv3E5vEYlvQ0+fLB8qpzH0x1DFPtnWozElkUcEQ2HX3Ey6DHppRbL7aYY97wtCeN
j/2gPtW+fkYY7gLsvIhyb96OMzorPBRIZQVdpGaZR5bfbwRb8ggFpkycdgaZmzVmA1l62Izjmocr
qms7zXB2ubPTOTq7eRoukxwhAi8T3XplnxasuZvLsYi9kqrYspcbJ2Mf7b5+KAeTwhmqIoerm9ll
qcmrvYDRiqRHd8MG/13eZHxTu+aZCSzNYvLqBBOwIXspcPWOMF2ibH/bt8ttOys/pbk8zFS+5QsS
ZkFvv4OASWEs2hmScuG1GH37IjN/Nwf8vrm4+Z4NWJim4MhMUcQ4ryoVPsRmt4GJ1i/Fpnf6EaZa
8AzVFptbo+xIarHFvqqistIfS5/ppOixutkNTWUAi4zwjenNThiUe1VVfGhb5w1phrdJE77jjXtZ
7cV5bDiQsBHpQCPdR8crQVKYwMZuJGKtmkPlsb30KDz7PG0DXqYUOMfGzGjlbc7MNviyDitv6DfT
uArO06dwKac29giqddI226VxOxTvzcG1GvT/br0LGVIl2s4K2PA+JHc32NkWV1vdzq8ADR4E0cnY
VUCY0Rng0cVzFD5pByGzvOnH+8alzUaEfN6U/oDOA2ZaTJeBbnpZF5HjybtwBDCJyNAaqNmrkJ2y
saNQItoiQQuP98KXwyYooM44jbaxXzKSWtKRMYFjeTS2us2s/KPDJ/e2z6q7oHVJtMJx+7rDZ8n7
CdL2Mmw6F4ExTpar1nhTimqekbirbzLfO+UVIUlNCjdiBb5Axd73PT10+la4bh21bQBHpcr2M9OX
GbR2NPbTIbT1J7dbM1CmeK3cqt74JRJs1myVSb3g+Zi8Brhk43Gw39bWMTHAbps7n8b2VBT7Tk8b
oRsTNxkeg7HKXs2KC9imOWdLSSPlWPdz7e6QBLLQruWPFi/fygGvDHKBeLZrL+1CFGFWVUeQbxzY
rvIBGNrncNSwIGY8d470tzAAQHmDvouseumjkTfqZNmzd6aqerCQkbzMI7AOgFfFxg+XLJmX0YqH
LEMmsCUaWMR4HtsyiMDFFAiEivu8xdPsuZzuW4nIkJvhjgP2ADJpllud1Qy9o0OjrhqXuDbWndO0
Q0JwpShfmiyyRjgNaGCydDR9keimd3c57tfo5ocSbBQqlea2cp0jAPp7kpGHzBM6ofZ4QEDG3jjL
Aji/021bXOuZts9liBDmhnWIUcbdUByHYUTH049OZadiyhT6X4GIZMhz97+Bk99dVmgZf10TfDst
588lwaqBfFcSYFcPAfFih0d6BLLqv0sCinNjAqi7jGFwEgqDP0oChnMZQyRL1mz2KrZ8a32+JE4w
CSBcjdkvOZVvqZsf1HkE1n////d0ub9OgPhB80UHtTKr8HtxPjNF9uXH1qeqpasNDq65VM4ypjXS
qokm/ouPQIT2hycbAYlyuc0Ql8DyvLERnxh6/i5b8xRm9eNqRCwaRC1g/CB24Uzlu2rNYdA1kQE2
5wPrQYeaCaohQhuEqymuB516tM3ifE122IS+t9asB11TH86a/yjWJMiCSMgkkJPMeHtQgGejwsmf
Kk+flAlfFquPZB208SSaV1OUkG6c15bRZ7zBdsz6+dyPYB4NSKKkbtY3wfDIq/T4ZEjwHgKROKqa
ZhvAoSwhdfGuHOR7Yvxl71Z8n3WWTlmw7JbGfo/l/ILsd2yYj5z0tlzIpgl1G3nF9G7IxUsgrN1E
9FPXWvzg23USdm5cqfFCC5LCT7nMRlxWx7ExbRmBFvuk4SkB1Wiihk2XcDXXtLD3rk4LxFkgGsW2
fc+bc+undV++NDZkXvyJ265b4JYhgydd2cHZQySwLOzgXeZmESLf3Q5pXxVnk7MtMuvEKj3tdI/q
JxPDZtLFXd2xEyN6SV1ILjGWyF2j5afWgmbf2x1MQ7QvLSoVNFfDjQnCHSkIQ3x5VNtcOW+9EO5B
KlwPwdDO40sU+u0HshiRAFA85UBtdVe8zgzJ5GDwT1MvrrIOL1XtJqzw1v6vOE0c7YjrJz6o7qh3
Z5ZI4o2RWm07vug5ZtNII1m6DRpNGAdC9FUs/BoPmwB32VfLTdj7r15t7bkl+nTo7Dgj8Lps29yi
Tepif030N85HYxdN7DbFnaJVkeS4c1btvPP0FDWVbDcE+YVTY9G9DPS5Lub3YzU/5l33oW6CCcyw
AXOIKQPINw9FbFpaJWXR77FMY39vyqdBwGVdAj+MRV7dZp3roMicdxWFRN8imxvBr52iUu8dG7UE
3PDPuB/gx+qr2+Yw78nWo5KAC61gVKNmMdK5Lxb1XlJx7Ol01osNeqlXh6zrTwSQtV0NSyRJvQ/G
4EPR8X2Y8y2EUBmxoHuYulUQtN4JzfZE6cPQum+wVPYl4VeYo+9VJ9+xssGXukwn12mPzqDPw1iu
bfZ8K6txO2fi5A4sUcu0q0O9p62besbdNTw/cJdg4zfOsZbTcerIDThrmQ4LCE+ICZMPJbFzlxTM
+7UeYHOYxT+0oX0Hqe1YCmS9S4MovqyGfTHaV5e0Z177V1WPHzthYAdz+77T3RNXzRFe0hmNRJJz
c6eIhKGPl76UwOUn8cRLf+txvauYCPbGU1s2Tjmejv7sqBASru/cugXfw4K7rawRzABp4nxo92NI
nsk8SRgcKMFDe7ibcu80tCNyyD5ocLVUz7Btd/4wYpfuE3tesO0jyelI9n4Jwu1kTZs+nFIpxhfV
DrvOI58XRNsjIezNAm9ZoN1D4bmAkr6zMdIrlsEk7TTQHta+2XEOllstm5bJY8iHE4z7PbJz/Voc
HkHZX91RHjNgblGh+XnCvADUiOrDKDARAUnri0XCbaPDSwv6EOb0nFYNoRvh0UdBh9NM3SentC6I
hd8v6y0EC/QBsyTwNvKNY09HtC5PMxmvDqUXUs5JDiR605rp1baga4maC7wnkIB63IuWeqkauNg2
QfW+dpyzCdFJ9KLdlbrYlgq8WMfoo8/IoQF9l+dF4nXWLdBoGtvug8+HjRDLh0L694vX85OCprsn
PLurK3W2FMmirJEbd/He05ptfTuLXAeMRNEzdwN8096Vs4t3mb+VKIgiX2lyNL45wQ2wgdGjziPC
2fqN10Z4KGrwPQHcPE52XTU8d5O4b9RyMgN/yNpupywIV/MUPKpJbPGZH7iRT32Tj0BVb0rIxgUZ
Y7tgCLxX89Zz9XXqOSr4pUsCNu4suSBUH+zbjsF6o7uWh/hq6NWCSRrlo7kdB/seEZVgQyBeJwHG
ZkQjnW5rh507if1+IzvLlhuA8OLRq0SPxZ/5R1shY14FckzzhkVVg2EOIhjxdi6nRsAzRUSjjYyp
weyarc9VeAPSJIiqflSbxRJNZEP6glQH5GMcqg8I7G9chgYVO4wX5aC6ktpG3hzMkvclT2CJZF7n
QegxHA+FnOFCWuazars9RiBIFKqqjJ2ipRETc7DxpHwaNbfRSbE2QY5LoR/sfCuqCoZZBBU/TbSv
r6qh/XOBLHkeobG30iGYvNtuUstBBkuN4ROYBCNQyLt0U0+LTMBhnianPYy1uLGDMnVnVNj28lg1
2R1v2uPQAMn3HRXbMoDeRZvnbAL/7vNp08KMiMYSwzRcwBxO338YiwE2bPDiZs55nAw2GZFUw5j2
mRcJp3uoCUTSwM9fsbI+Ihm6y6b8Srz5LSucY7XgawpzscGDpOPOQo528Y6Qzs6ZkE7MEPYoYAUD
mz+MA7bo1gxBwloMXiFeAj71rsf8zQgUxr7m7OTNYkfbJeJlva/CKfI0KRFsg0bICgfaRHXfY3bC
qI1J0O4+KDmpuLLKIxHTnhDrDGk7Rim0tedmj1jZ1irzPfebI6/7J+hLR6koAHrstE6QlkH9MSuW
TVHy2zlDpWC8erNk+aYFweU1/VuVhydLqbjDQzfPw3EI5UfmEL6mEveaiDuMu9kwW8QhnObIqdgu
n8l9V1rrIBnLipHKi4wP5RMIWoY2NMwKEg1hl/YF3VWD/TwGwOoK5AU9TElxQJigtGiQkpENVvfy
WYKs5tRDtqK1NyHaMwjicm/VxWMYZlsnWG4Ici9R2dMHM6F/LeonDaEsQXci0AqJT1mrxxgwwbDp
c+cyeeSScef9THq2EUWN7srfFqHYh4KEKefZEabxW228S19TfOJJItxh42HhevLiKfAn1FI13WSG
BVdN9UG5w0bLABZ3T26la51kPy8YH+KkXWe1UebloOM6Uu0wv+PFmwpzH2KlSUo5n+Y5GCBm6afZ
W25ri73YdpGltWieyYjyhbAhLbtRxqrDpw4yeFzr0tMgSDLqMN9xdIexV5fnGgx3iUEYV8tujzXl
DTjvbobhX8HcnjuUiJjMAbLts0Ggmo7NPRczolcLEAHfLiLTD6elXXdtz32eKV60ggQ8aecQYLJx
EQ8UFzBesQtBbu/nS3eqs5YBdHSeoP8jgtZmt2EnX4hAM72+7swZEcZR2M3LdnReghz0W+3e0mkW
p9BRYP3rPa/Jg81R0WiPQD0athwaB6nKU8PJdvBdTEXyqs9DAEEB2bMNd4KHstcH0RfHcmSoM6d5
09n9s6HNXTjDhVO1fykov1RABzGGwRzVXDw2MnxxZ+cuwDp89JxCbQbOdGr37stShfuwo1ZcEKG2
asQvtqAUYX4P+EPljrsCY3yiTtXYHTHDhTj3iJfaaCPa1nI3gTSuXcSlw6yNTUW2FPF3Hd8vWii0
Yt81UCBbofWGOC6QYo8PHUZ+aqBsQchs20pci7qOlDp3sFND9/7vLwIW9xcXYdRFNNKBI7N2cd+R
OWU2t47VdeJKDPiXM7EgLLoP/fTw95dZAZ8/QN3fPwv8c+CIyAkggf3jZTJCQnQBBIW7/XnS7yzn
PwUQ//z7fdvFyS6IMuPr+vm76kLDNOZ5yaua8KDtguz1H//9PmhmfEP4oqB0/wQac19li+M11TVA
34FZVeFXmQP02q/b5R/F8z9/Pz/da5eVUKCwlMKf2VpVXILE9BMXgu2bLL6iKP/kUgj+MkS+XQBe
3jpD+/s7LgOocxPG1FxJsRtaEKxRvcrfMbZhq/7q6PzltX5EJ758rB9uy/qIf/d0ESoQ/WNSwj6L
ww4VXYxXC2uqGdO/vz+/+P5+uNBPH0r5RaiH4OuFHIFhMtGcp9hH1q24/g/P2i/eS5wyRAlANpwm
Za9ny3z/oRxP2Robr7p2yGjB2pk3Xvbx7z/OL16X7y/x8+O2dB5qJY+oqwpei+zFtf4XjzNYQCD9
IZLF3hft5rv7ghFMXu9aNmbnYAV0fMCu/4vFC0F1glNrMegAON5PxreyFOp7RvV18V8n/zLABSb9
f1i7fnXT8RD7cPjBF9JV4/r+RoR5hVEcwQKTA4WfiYEcU+92xOiwOlmc//Ak/+JaASgj2wZJ6VPo
Tz9eC6YuRLbCU0DRUJNAVMYwro3fRBo11t2Xm/9/nRXzsDh/9xb8acYOJE/9C7kTP/NN7sRJPqtj
CabDxuDhL9Nyvsmd4EAwJBKTw5E2+WKB/iF3Br/hfmH6AM5sRKNOVh3ym+IJUAzgGMZJYPL86pz+
Mwc0XJ+BPzY5TKoEMQuSjSKmz/x1YOaPz0i3EGEGb2AX6DRouuCgIDCog7xxYVjwERHzJRsgv1g2
y2US9Jmvz4ZUQJwGgcI57z0izxj0SNAZ2xzX4DGGeKHUyKzBLcINpD0bmcRl8jAqbuqLATn5obLw
tBPuWlVU+lZY7zu3pXArRo/Nt0PhQz3AzsJTf4Uchlk92WQQMaThXb/mSboViWhGMmJ0VPuFNOnS
bCAPBQiKVjG5wUicBMmyO7VCFgicQ24Dd1Hr6qia7ISC7tF0NTaqFdGo62o71HvkD5CiXiEOseIc
5Qp2yBlls1hhj2HFPsZ5earAgVACM1KCDLEGICL1CovgJKc6marggPTsJ3sFSsQwPvcrYkLBmlQC
/VIF+qRbMZSJoRJkK5qSjU2P3mGZk7JnEm0mEBbjtV6E0aYb4g0mKVbQZQLxYrnzUVqCxwOS9XGV
0U/zXOsYY4zSgjQ7sYIzQFpPxYrSiLZ9HDzMyyua6dQNJZCbFb5ZQOFYyF40K5aTlRm6L4TSszar
926OoOrs6kth67ummeLMr49wauN8LlSEPGFEfcQswQG5CDZjXtqY9A5AevB6MnchoNb8AMMHsEfA
orXuiOx+LhCo0WUaGN9CnqJHGhVpjVK2xYmYZUs5fxrgJscYQyjggmELtBi/mf0Wwbqwj2nTo+uE
6dmQ9olrgyex9I7G0PseliGb5RgVM92VqrjjajwJz0mQpcWcQ8SJNxmS31HtWtmuLbM8JnN4Qzzt
b4LGedOSdjuKnFnsKX3xKPjg3EGWxCnf+R57XC12jLy5Ijpbx4jmwKqTIaQmWaSFrB4nOJ0GVvZA
nBcC9T7xkTUYJ3k/l95e8QaiRQYhM0eANjZdMeJBt/NjXbcInocL2eXT9KR82HKF3cODnx6p2z24
HZBs3i5blcNU7rzYKsD7eP0HTF5TqOZhVA5+CVmqpImGv504/XCP/reEJEvRyBm+553Ld03f3A1s
ecEMhPeNh1Z4FvAQQ8xW2xQj2muXDO9GASGblq5IMDbnYFn6gEEvrwoRrIhwOLu2pvehx6Bgug91
R7aWo28m9OjRLJz7tU5OgpzAYZ+tC6yzM/RoK3ZKkc5CPgnXR1NCzWvFl3lXGr4bxtbFML4gjJWF
eIhTSZ32vXopFDJVphOYXTovwTGEWZ2ElKCfWtoT0M60QpOXZrZE0wJSJGIWFMfOXCl131oJkVW3
zQWBq3e6yfJDWzlyw+j8VorwDo4JZoKC04+onE3ULebzNMI/BOqBOYXcduHL+4iEdT3dSn/SGIU1
3LMMyTFGUFcAbYXSXQsYsJjPgyEk+a7k8yvLewX4XqnNzEKEXpoztVyML5wdzP6UGC1bGjxQmKSx
WORzO7lHrsXOLPoFQXMbmbxm7zsl/J6ZHuGmj2kwW2NiDwjDzba75z3guaXAUkLt4kzL6mAwzQ+y
3xGk3m3RAsqXxT7vm/ssbz73MwpTNbUno7Mrs+qHOsjhmBv4BiTn7BhiXcTaqPHmSsQG9DBti1I/
KQ0x1p9CvLNdBnR0ajfIJvcY+To9hl0/RIO28E6rGr9clC+z0zt4Hee0HAYClQ51aYjQeloazPGc
3qZ1qAgGM4iNMu4xZ9XLbPCN0nC4l1Nvb7JRI3YNU8DprEfMlXrLeY9hEaVPMA/S25NOf8TwmPdL
Sz6PFA8DMlAPNXQ+RPGok3gS7BqFCp42lX8zFhi24WQUEP1kRVKOmA1R3uGjJtOQX5fKhT7vNgEC
dpYdLdI/+WA5MfCG7AddCrjWwbx3J+/errPnHG72tpXirZo6zGNxJ8TFpkXtunJ85yhMLGU+Jn1M
czuG3deC7L9V0sqf/7UxfNLd//sXjkCWb92fi6X1R78rltBug45fx/J8LXv+XSyBf0UxhEbcwbwp
1Ct/FEvub4G9ArBYBzB64csAtW/FEs7aCwNUSai+4Cyvqd5/YA//2EOhP6cBIZjhBX4fWWCf/NQY
FsjpB5MK/4e9M1uO20i77ROhA/NweVBAzVWcRInkDYKSSACJGYn56c8C23ZLtn87fO/oiJ5kkioW
KvMb9l5bXHtsoUCgo2Rn/h3gTHd5IT8VZOtPwXJkQV80sT9Za3v6Q5vTMHnNrcUS164Sac5pr9IY
eu3sbiJDz0JhALyqIDecndgF31EnYpMvjP9yXdyrdXKXp+5Ot5L0PKoq8gpNsTaaC0qUZZq6UWOE
+npx6Ifkkg7evu61s7qMd8AtLs1SnRis3KRtfFRFNvsFslRmao23ddYLL6KigAHgfdcmECLgU/jD
LgNRlPfvqTW1XFM2qN82gunsR3z9RGnHwkeL7OMIcGoXjaDIO0XOvvAYfU79UiFmQ+q5aXXzM0wG
Z+fklvEC6Uj6CgSwXapmiR0mfVNT081sGqtKm4N5Ff7uY6+OxEEzyg47lOFe7VnO087pM0Qn6DxR
5Ru14X5e9Ia1aqPDgVEW29pp1YjmZYMZEAIF5VPRzZGvTpZy4za6cuH718F6K2UKQ+NKKXduxU1p
91HLoFxHXOy46d7IzezYT43t3vLzpPFizbEjT/qMOxlyqnFfQWebbhNNIAKKZ48D2XaOA1rdZ2xv
5pfBgbzKLA7fTlf25sGtMqtl0W2Ny95NhsjeqKP0HqvKNXy7NOtQ6VUz0GuMyXnPJdLE8XwYdGu4
en3vhB2/8zNFl3yVSXyaZlZ588Qe1WvSg6IXWsi4ji1JPoz3y9AfhUoz6FWadx/PloZ7IUkDd/aS
bVUX6mbKTGb0WuA06ReWLcOZt26AIJ+ysqOWD6RuI8rJp/QINwwCbUcp13W5tim9yLzKZKBZmAGp
ME3dj2bpBMmky7u4FlroKsWFATmyIYk1BJmiWVkHTCoU63a+B7afBbGh3kpvfOigaDzGw+S+Vypk
XpEF9jjZ71XaB1YhgyxqtE+q0m+5vraKXmWhp3AxITMUKPF8adffpezeyrR9m8X8GTxm0BrD0ZuK
LQcILrtlZ07qZXYHijI8qJbOKDkJMLZ/pey+NIWyzUctNFp2Hv38rWTdHFffQGxpwWjnxm4CHhNk
1vBs2enXfGFfB+1LHjuAVnB5lrNe6IjA9Ytd99xQ2TMQuQDUEm5s1+FitLex7u57dXmeIhnGBQrs
Rm3Qe8Tc/8BUDsKCCQi3J7Ac55bXeG/1+OumdImDtI3kxhzU9JIwgdskkX7X5aW84L85xfrEw7yW
Nc3EtjiCLY0n5uTxIVJRWeteG0yue3Zr4wzG+ouydJvMch4w79+VTX12+N+D7p3ZH90lXnrM9TpE
3ZdCKcMnPmeaLxJkoT34uVUDds2U7KXKtJeacoX8sRP7hCMNyx06zQDUSgDf92KZYtPkzXxiubwH
y5hAlpm/NZmz75G7ei1tWILebl7Go1st86FZyvLYQVku5sihcCzzYI6p26zJyHaNV+8iht/3y6w0
fzON+xPDJ9E/QPfI8nLR/vCfP5+8yaxhObbz9Fo1mQ6O2mNYMsxZUBRDDrPdQFSOfyeukJQW9fKm
1Y28a5pM/eSCPPCrabrv19ZmioLMc76oU7fDvvPOmjoGmda2YSyQ0tpYlKqFZzpfhZkR08VRuKhA
mkEPHLfbDxWkaWfpN/igP+uYUMNB64yNBooZHPpmbDZyOmh15vhdVO40wSjHHG5zFMqygKWQFw+9
I44Aok6LzI9Nr5+dujq7Uvd2HXL/QM7pXp/oTeSANCRC2pOYYsfczkG4Iu/Nudc2dWIf1YQqqTNi
9Rx1WueLdnoUKX4vz+7Zus4oF9Kl3DS2je00zS5DvVwTKQ7ZaO0sxC5BmjeHqMw8v3fp54qVydaJ
0IrrM1gXDGQl7CUEFNgc9txrLUh2Kq9qlttKtDeZyO+xydFylwM8glKh+a9VOtX2lp3mEBTLispv
xaM5o42Jp/TVU50TILpVLVxv3HbZQsv6DlR+p9WgqU3tWRRsHQ36buzuI+eQIavvleec1YYxQuwp
3yPNXvxab3y7lxML9UJjW7eeZd05dewnXc23rFIH31Wy57nQtY2QcxaaSXxjLJbG9Ja9nVkLJLDg
GolYQEIOkbe95DCfDj9UT7f/nc78qFP7edL6UYjgEgTBrK/TXNP7XYkg2ElSnUKHjPo0MMSx1f8O
4LiOg/83FeJbIrJjt+LS562wZ+13UyGQkCUjqDi+5jaqXfsm7dN9Wt+3o+BJyDepDXRNhH/9qpi0
/s1PXV/3D6VPX2ddbRqKcmEQ8oA1G38O/4Vb8Sk2qT3IBhGbzrW+2JFxYB+dbQZYfnwqaOFUnelm
2S5PleKc085UNwCStrk3al/dBIlVoYpHG5R5EGfzycnNZ/q96ajlht3zNJVV2C9OGbq10gQam/KN
U87zoZ8c42tVCkD2SwF/Kk2/5TyrIRy9JOAEnoOOncVm6L2H3kQgwXn4iD+RKInYuE3m7jvdz55L
6ZNs2629opl0S+wNNVFCoVKhsAAvd/PSq5umsM2gHeH7O4BYYBLQgKWgVYwYmoY3n3jo3xs5stir
00NrKvt5ND9Ni/hiqtnR6hDgQbmN8SCifRYdlHi7tw7ZIk76CAlqjvTAyFWVCybjlFW/DPiG/FQU
FzeZdmU7htiaeILVMOtiGH5GHVSicP16EW7Q5tEFGRjWK2evVUyE3Hh6gAVDAVcrn/oOqL1hIPBe
nA5RGa4Era9e7VWxpxZ3ZMfgkp86X2rHwRoUGCYoi0rWtLWmPZZzsp+iacKu2V9rtj+BqK1Di1zL
bVSmY3iOGsvcxbV5dhAs/c3j9nfP+FqI//C00WU6g77wtIlzeRtflW1zaj6Pu+UApeSM1ijZfNMR
MRy1S/kynv76h69Z33/yAYMejr2ObenqSP7xh2s1YpLMNZVLHVh+edY39ZZluXZSvjhbNVQfb5TN
+csQCtQer/xbfsUx5x/TbXQlDqb4m7/Nz43Nfz/thkp5iamGNsr63aJwVke0KZpIrol6Wxs5vLgv
7bD/61f885n1x5/xu73H0ha9kiTYUavmLQZqNN/99ff/09eADthh5WmwF/7du1lMNnMXSI/XSrlt
PD4PFjXnf0+of9t3lXfj/27f/1/x+r1q/9i5r1/1a+e+Gr3YVvAI/YbP+rVzxyrPXsG0sZWqP9vh
2XKo9OzsvhFd0/fyIfm1cSd2FRYXPi8Te5ZNNtc/adzZnPz0cWPLAcGZEgB+tMbFSTrXzx+3qraY
Hc+RvFFz41OGf0CX1qkw5V02YTUZV4tBrALC1cy9mGcRFKsNgTp93HRTT0nd1A3Ih7EPQGPeq+bC
XLwGCjGanc18UcNvtTo6PL5XSdJKmGNJOXhxq/t1kj+0q0GCO8b1tWq6KA3miaIUNYkrGCqUyYoC
ZzVZ5GukSduNzVXFgcEmxbo4w1Keha53fmVTmcQRIkZ99W5IaiN3tXPYCZ3k0pafktLF5756PlTU
bA3iwMjt4lBmGssUs3iDsvwZQi3DM93aV1hIlNVLEjXysqzuksWKv6KLZ9jO1mHTYkEp24PQztpq
S0leW2PTefG+qqI4GJH6QSzBx+LMGR1NPmWBvsg6rLG7sKSvfaKQvvcYYRDHjb6n8oLaITpIzDKz
4hAZVobKcu7x0Uym+2Lhq6lWg403W2rg4bkB2nWbriYcc3BhzU/aTWa3q0GnD5md8JYYDorvOJYH
ZzX0wJ2911eLj4fXZ8LzI0sX7ORqA0q1RNvqqzVIOgMiKxvbch1VXZivFqIoA+nRqu5Zx10096np
oyIPhFtiLpO4uFYrUmMAyiZoiam+B8EYwUsTxqt5Ke5UYxPhZ4qVFa2V1rtGFUeZOZ9Mb3nVVhtU
MWc+hBgm74kXVHrCrghyLVuJGon8sArzm6Oh8VoW3FWeQQhWFmklRzBDgQc3wlbnthJNMvtos/2W
ViPC50G55QF/9SpGFOT4lMck054YJ19ayLuB4pqg5EfjDc/cG8yZeSu7iRGEdKO9M1lfCz6ifsVf
ZZOtI3b0S5RZsTwVrnochHiuF++0NBpcgCrZVaNybtBe+pJ+iWwhpq9VFrH7kfLaiYWPz/ApiaOv
TeK4+9IAPyyU4oHVD5WB3n9pDIewqy7euxb6pxlBVDXbxdaV5cGOrUcYLslx6EqbJKflge85nhsq
BGikVRV2sd1uPsizAzLfrQYZbmtMGKVUO7IDLTK/SNqEzbD0PctAGkap9xMyT0hnyYwKL5d5t1km
WT3FahTvyyRpb4VteeR3NcFUztrW7YGW6QvQtI4ovEFgS9KrlDeoLsMoF3jC0owFydzpB6ZBuNwE
JR919kFdGCo3LooyLcp3ZGqZGBeM2edYJJELYKUU3eJXTbk3u2YvFDsQ1UL/JDqYF7lCZp9ldhvA
tPS8ZuIEYF2CziQhap0oKKZ1K2LPr+TwqE3iZLX9sTLmq2e2D4PD1nGRxS4hNcgvi2jxy0y7wpFD
6I7REhfqbWH2d1k8fnaz6SKL5UlGJvsMghH8ohKf7UE/MvXYz1J+WgtXv+lL1VeryvA9ZH2ZbEJH
battMTNH0dvpErXGHVyhVU7IDEmvjzpTCH+W/btpRS9prN2YlbgClL9tBMM0d5Bfo8hC6ZgtT3mC
k5yRvBtCz32hN4WqicPP7/T6U5WYp0mp18gnnhqknnP22egFaDzEu7hsVzsX5J2jZ2Hw+ri5/r3C
VQqe//sK9/uue/uTG5wv+u0G55qGPkPwhIo+SIdy+T9fls4fcXF6/Otj+v7b7J1ITS5vJH+ri5pr
+kccl/efNfECDA1SHQaM8LP+wez9w/z1Q8W8XuFUCDahJqv/2zTXv9+PFfNQTxKUeGLcyInubpmG
w0jzH2hka2Lsb7aVQRfcdvMXpNRGIGPzG1GR545nK7BWWjDYP3PXtSRzYZz1SxUFvlBbH4V2H0xy
uE6tLQPTa6tNVfVfZ698TlKct0V+nzEgKefuyBLivqm540WDhcOrdYlDQD+XkLH8WHEeZeZVmxwJ
ERzf6HGpxBcLSDnnLSF69lTcWLFxo4126DXV0WE8klmLcVgG1vl9prubgV6MQJNQd+t3qDr3/Rhb
xxJLej23X9109j25fJ7g8PgZ40WfZUDm26T0BWw6WXDD1XDq5POo9S8ZnslNkiV7vWcFWEsH0kRi
tH7HeYvFwbhmRXPEVoQ0vW3fmwGp76RUnJi5e5NCTNyMcXMjrKE+TkUHfDfl1neKKoMv3MaEK8XR
VdqVio+ox4QFUvPdhVl1HUzn25Lyy0XYm9zpCDD8RLZvCIy9i6jyg+WxnIv0esZBJd0bmU4FDt6R
dw2Ti9/GoDKzghA/rrXE50i2d+kwwfZrISObTFzv1NjQdkstYobq5DwW5ZojOI6VnxYGaWRzTnNt
wOVUcKLsRLJGdCwETtgTvnqOObjSkRZo0wyYwoSphpEn2prEP4WAxvRdVxlFWBrijIHhtHSCxEft
0M3xEqSF+45U1vaFU5ihIlMjmPtZhFrkzLsMXXeoioRe1dSYGBKbtOsEJlsxtSRC6RhDirglcwOg
+T3wChe1iZWEAGdxAKpRFLCWNnxpGModIDbTLxZeaTPZKJXhFmzdWOk2Yh5dCGc0NAqYdLjHWXq0
uDJ3sZ58mnV5y4K2DOFczuSe1l+rHOF3mthsWxvPPNYeR3GsrdEyy/orSnUaWmmJxxImvC/XyNV5
DV/VJ7ie+RrIarlUlcka0prye/eNVun37ghiIxlNimCHXNdsDXhV16jXAerZXu3EtrfyMIpKblno
0H6BTdBHslP4FCXk8YmRWcIaJWtjdLxbiHcVU39vj0WGIHpNns31/EqqRLcHPP7elctX3H3Jtqs1
xDZe3l5SINIbYzXJtY19sOcxOtuKM+zcqDTvdaX/nHpVpwTqRyZu8pGPm5KUi/AoxIuE3yQRhNih
bNop6fxJU1DdT2yQNyqZu+UavjuuMbweebxgS+BFkkMCtDMO0zW0F9nMPjWMx4HrfQPe6lPRiKMj
ytvRkRtFcS7Seokc/dRX9vBEWfw22t15AiDql1BNAnfsx3OPU3rveYys0hZNUZypZ52flhAQNgzm
ewNwH/97flFHVfMHz/m8uPB0U7G4fieL79IhRIWMhUMl5jsSps69RRhflQxGUBZutctS6KnTkFjB
NFf4YVKqoZZ/vJQoghxpWNt55i3UEAT3SvyQT9GLWvXPtcnx4Kr1EDhZe0pH7XXKsOvIzCCfQyLC
0nqW+iR+NpnZromdq7ULwkIuB6LXxi89Vt7AUcxbb0KaVRVOeXAti3+yU7FsZzmL/Q4wr1D3sLnL
zWBGCJaq5ib1iBsV5C/4yuQF3dS+SRISwXmmQZTo9jNUq8IKq3K6lHr3rTKdQ9lbTyC5rUNasIlo
l68QU4nLqKY9LzrfJrra+4W2BLntXBPBKeNV0PXakURNFB3stPZKYzM5a5DepIw10/Gu7Itzrksq
+TT/2uHydErjqsX1TjGbXUxMBu/pZso1/rf1mrhpupFp/y5T55bcnY4UzfnQFWYS9k6+UczsjmgD
hbuAXE5jPiVdfld4SqClyaecrKbEJtu4Z5fRF+mnPO02vW63iKWk4xfzso+IbklXWx7jZ+npG7rc
t6gvZ597TJl30tWlS19EkGpsl/cqGq9/xxu/oGwYRv3ftRGQ5P7PkOIqX/VDceR4FlshU/8lHvzH
4oiJAuxPFkbmB7jvN2QX6YoauW7Mzz0L6YDz03xjBWwhcgClv84+vH9SHCEn/cN8w1E1l4klGgnK
4w9RwQ+zTHJXY/IlIvMmW2pnPix2VRhfh8ToohuyC4yioNhRdCwG63PaJw+zGZt+Zpt1UOpoe1jR
p9jUmizsvY5NpVWoe3XMOLcmg+pkqF61eUF6aKWvS4NFpzDIGmulfUI1SXREJG5FA7A/jrqwLqSJ
XpDQAHdG7ZZ6VFXQuiIWR9lATmkxhElLYnBidycE1h66wvTLoNl3qYGFNS8QN0xBOSy7tAE8NqgF
e0xR3S10NZVdIRSV+NryCqs8aa0bjxgDTtPl1RPtnW036r7nJKed0W91tYNNbC7VlqSQMiBLsSKk
p3lnyfraC+BghcLmfH6DNWMFs8WeTTHigITJC3qsL3XJKpbjrd6bkmim1mCtlNXwiY0KPhA22Haj
DdPJWFIR6u3y1rsRsO/hpHnjTkMyJWsWcoYMW7KEuN0GbhJs2+2Ac5yPdjbSvcFyplLFwI+znrhW
/GERgD+HFSzHA4qNEmxhvS84OKZKfMo5SNDN3dWteiL8Eg44WtDWKu4G3tJ+PYPUKW3LXado7ta1
66NmFV9LmTAEAafKHXcmbqbcmNzv9hHFcnunTdQ/L6xzkKfBV43LO/bBc70rNM6cWM3UJ4CFXuXb
Q/YNuQqXJZz3VO+/eTLZOroXo0vlj9N+fKPykezDJpLg8X13c3I1y8gNAR7N26ZL3keFg0648zOw
/k/dMt1pg/ZitPURA/5zOghvY1sSoVpsfk/16Tiq8fySJ1DvYRMQA4YV0l253BZCV2G1d2Rx7OGH
K2fCsT7NKS8LyiTjsdi9iSZEj1C+6FCtoE+wmVqZ7aHbm9X94rxrojJJluk+Dx2xIpjx9SAn5iaD
c7uzlJTUKvK/ao0wbAL4NkqVfIuzZkF0MS9bd2RmJ+Z4pyvyOR2rfcXHZlOuBHlifqgX5MLgYlXw
EaExjSbo7Fa5nSPlCU7w0a4xowpdPFpREhMSpDsMrhgbkDpGKMY+dzKHgRC+PKAlPiYBIloQKiR2
9i4TnOSF+TpICp6ckUU2iyuDnFNtIIOEQnQqx5zlvmEMwGW58xOW7AIpwq6ZyNLAPaix+c9f2Tc8
kwMdFvkqvoufjcyoHxbFxjy1ph8zF3x0lORhYgqpeuNTk5jpoU68wzLhRI/d+hRV8smeoh3BCg8K
fvrEcG8UT94lqv1Wm8u1KFZjNM/mYs9LUGtlHxBXdj8M1CYkvMR9umtF4oXZxPaWT4/9Igd5SHTR
30cu1jukIVvq/5ONq/Tfq+2/V5v1l1fbZzJH+/b1j43/+mW/3m2a+x8UdTorXxXn+McU/tfR/Uqq
5N5DDMFzCO+YLdWvOEqTvAwe0vW+wY+whoz+Nrs3mN2bOrAWUji0jz/6B42/9fubzXN0S8O+xpbM
gtL2u0XZpCrx0LZlf13mbNMQHhCvF4Bb+D9c+X+yUtc+3Hb/W3kzX2C0rLuAeXEtQv3+fc6plndD
Ywuzvqq95T1mSaPYm8JBo7VnQY46y/hQahEYvDwIHbG8tgq50ATGz3Ul3GO7yrw0h/l7/V/tFyow
40MPZn9ow4Zs1YkNH5qxMWqGYSu0CqWVOaRo6ZT8ZhS5hGNQ15VOTFQOfcFVYtBaqYzKpzSbvdBy
l1aFVPnNys3x6ph1fmP2ap1vkIPk87aK6I9WTpqSS8AeJLRXxo06aFZ2HnJx03bZSEJYOW0S75bu
882S9fcSgFsk1U/O0OzJd+UMtKudrvIqWOWGHrW6V4TWVBwitMWBQdMXSITs+dy8I3C/X2pstnr9
3hvDQw6HOhzNVjw7LFiYa2b9hWl/e21I7jrmqXepvSIPl4WxCQZr490kCXFPgo5KiGhTh8UQYZ/O
FSvUR/didN5VlnIMiGEnED1d6M9L53HWlKccBAz76cRioNHFnKO9gZoQsH/B6ESl7jDXb9GBSGBt
8Nia5HkEtlsm9xJ1MJW61obepE5PZp7O/Bb1iu101reBqbT4LazlvrE795goACL++hnT+ZD9PMIi
NRXgPZB6kw8Hj/XPIyyQNwj3gDRcZUgcA86Uh+UBjZPfbLp9uWe+jgItLHZO2IYli2dza4T6Ptr8
kkrwfxocfwd4/djFsibFqWtZqmoyVfv574FWc+xjSbhppMdHpJ3TJosBcNWjqfuuk3lhM0TGtqU7
IXnaVS+x00ZHjfcIakqxmR0G0pE6g4VfXnD0e1tJ4gWi/pqV0/LigCT2Ye4gGF2mL01eczW10Mwc
KYyAQlX3tUQUUFWncDagiUDwExE8INONmI17+xURNuv6zsQ25Tddy0PhmdRE5V5M0JgMLNaVSrAD
MGY9gp2fEWkSrMof2HiM0gdAtBO3eROLjKlK/BhzU2tGceknElEUt96piAd9x2vMba+Kh79+i1fl
zf8OEX6zjEjZAdmclzblvbeeZj/U4d6ij15dRO0VEp/YcRDkvHgVRmGahFbFhslsYo7r35qVPzm5
9FWL81c/83fvpjINTjtksbyS5PdsMU2c+rgKFukQKtZfsEeoPuuU2nca0N+57EC0lTNyxx4pnmKd
q9R9UimMCWRU3qPM3NZNc9Er+06Nlm9W3LwUUKWAWjX1f1UH/47i1+3yb+/gHyyDDxWl1p+YBtev
+vVKZmW+ksg0G3QMpfV6uf56JUOXhxwPJM3EpvoR7v3bleyS+02Yhqqjgv+YuP/vSnb/w+odz8Ov
Dew/msVr7s/SmY9Z/Co/QwqvW7YOr+3nx9x0C9GavT7fsGJubx0xF/epVjtPxBHpx3nMUMhpOGHc
blAv44wRZ1iGJNCsYfnseGP3QEBhvlsW8E62V0Who3SceGmTYM9Sr3meeJfB0KKzZXntHXhmvn6g
PAn6pYMvU9XTXnG946QvZIx3CfLd2si+paSQ7kQ5RtjoFraUtZxeCrbjx6pZKVuoDwO95NSSrlvD
sJo/ezpApNx4naPCOfZEi2w7ordOJXa0kAU4+8QO5PCUkxYOIAoqcpaRa0VTkqTW3rDXpbxndJim
xNJxbgoBfkNjDU3sXNAsS/zuiPo5mYiqXKJhk2b1kU2gB9KjzA764rHHhml3G2vxk5rNx7Q32q1Z
l3dW1ahhqnbKrrPj5bjEvXFMEtUJWWifNKWRB+RtXoB+zNxleWmGg65He1sbXD+14uzYwHf2o2q4
W1qce2R0536vWIuvWBa0FLfCpeldBYBQksf57SjIcu7TsTaCItW0GynJziIgtj40iTz2unhpamfy
i7wrfeCuzLzj+pjEDUphzIsJLZ7WIjvI1G1ka3thQqRU2BFM1rBjdYCjcunrV3zh4jJ15puSsTVo
VMbMBWOTgBgQoG3xA3OSu8LBUJlN004f8s+6GDsPMlRH/J6e3wyNdlvp4GuIGmWyRluiqLtJ7xBy
N1YY1fwcnAe1Tx5BfJHSYtxZFidpaG+WVfVbaY8PQ4IvQLKlIF2RoWpRqDdO7O3LotoNhnUWE+XJ
qO4SrccmmZMNwKKZ3k1slzi9KZa0I2Ko2Hrw8Lik5ouFS6DOlEf8G/B8JvNkRz1/0kcvhd5+NUat
CbzE/YbBlIST+ZEAJ5biUY0PtSbmBBn9XFxJ9saCyJSo/2ZS2W2owqGhRdV09say5lNRpNlZs9ea
t5/zijE+JEGql+kcw605fJxB/x7Gax3/F4cxsvQ1GeGPHdL6dT8cxywctVUTDkQOLdEPx7GBU9vD
MwCL3eDM5o9+6ZBMlqZkBlqqbaruLyFGv6ib2JqyFtU8l+7pI8XoH6mbiKn6qQLgOMYohL0JCR9x
8fxV1ungD1UHuX94fFu7up1a1dmWgzmiRDYR9ZjjPnF4foZ5ZivPXuGGF6GeiK9FcGCDZgL4p1ZP
KXz1i+2uRgvDaB5Eb5t7i1jW65hF9fcadC7GnCE9J7kzOx+bpE3tKZAaC02ZbiXbs5uG5OtnRcWN
oUWIxDZs2vhglFHJbKX2vrscMiROWzexpilHPU7QWbp28di5s/WcU8A8jLpFXq5MEI30ZUWB1isI
P6y5QhmgAoI0pP5WWX3+hN+83MeW9AI+JPJ1YMJKIoebsnlj9uaIEYBWMtR3I9ScvIeKGKdxHQyj
Zg43iQIh51vF/sY8aRhm5okzP+t32tL1ypsZe6sG0lxnSWSIlu2Ns0agODGGp4dEeMBwyfZoIBEa
izNeifCpIELGZjKZoC1hLCHCGOpRCdDU5FxtSgmKMe3z+Sukv4buZPS2XhNNz/a4XjuKA4Jfmexy
G7OqO869PT+wm15eyYjmdC5h6ZzikYMDoYW3i+oh/sp+Pt2o5bK8RjJZ3oCUPbUYIco4PSoOTVeh
2cNmtNp6r9RjrPmu1rOgnF3lFGvdfM6qCblp52HamoqKDO50jNOtLDo0pc2wtq5Z88V00vyQe9qj
kTUJjg0MzckaGGi5bbe3hbQf3KQuDp3SeY+12tjXyWvUoNCrdZ7ZWdUn+sniDf6T91VxRuVo5Bi0
atbfwtVw4XQDYHBFkVPIvLnpAlCL9bujVPJAnVDecw3DYlMX+yVeNCdYPEc8AioXZ4dMt4tUGvHM
1rVCOwcIT2bYa5d+Uk48vDFG+nK8If0qeoKvMT6WjDZDtkPpgwI36jYZcjRFTEGQrJnmQFqlBMjG
7DHpQjlZEvPPPDqbmMDDvT7ob55NSGJuHJ1pNO7gv2ErUitbe6uretk2qUrObi3XwD7GdP+exSqe
RtX8y2HVQ/rW/tmsav2q305iZKYUsRyd7mqR/KkwRr+yTomQVHMefihRfp1Vef9xAJhyQP5ySvMN
f9WZEhULTYZa1qIhJ+zkn+1h1r/aD73YehKTO4uDlYEZQyTvDwwc2PcJOjLOWSYRLGshvtvaSxV/
Vz3qBliHrV2eIRwCyxw9/TzW/P+t7tzYWnmDy3Fru/F93vcv0G03UDSmncySp7K1dlRh90bpMkOB
dSedZ43dDc75LlwcwscsRITMxYCEx/0jQIpPhAk10OrUfNM0Wof2oH7GxxXYln6yEC4UWvO6UBVr
YnnSTaXZFFN3TKySwYhwNtmS7mVPhIsolyctdvZjgofazDrM4AlGmvKRQLKzJ5onJoMQPCz9XRnL
LxQqnzMNZYrZW9vWU7aLs9ymHk4lXtmO/OZ+MxLI5KadjRHBzUDTj4fuw2o5Ey5CAJvTKNtWUsjO
hfu5GZHI1WA4D0uPUhUQ6EmoebURo7KHf2r6Gk64fc9mtDKng87ue6zt+7Hu7+euaB9za37Na3Yu
duMe40T9ohbWicuu2NTqdAFRaPlj7CihJcp9NyiCrrk/maY80JFUHP8cyNp3pIUvcdQ/zq41Itfj
LF7c8SVTpefnjXGB1/ZmOPWwYYT6aC+MFUbVHFgER9tOYseYxwHj3TTvhQSw745hzSXaS35ncZyb
wTjHgr0IKN2hvWKS0JIwckS16yzstKeuQvKzmLXaHSoX/nTneFDw9E6g0a3U1gn11IyGUEpGZa/5
0IwH0Vl6F9iZCtZyMlBHbTiViarOiZaNE7r/2vQuRd809FDGtzJhtKJEbEAMk2GNrlf8t1ENxkV+
o5o1SZxv3ik21oQGEcwlUZuOhv8ptrJ7ZyFo1TGcq5IgXELSx/dQbb9Skqd8Mp9Ldxrx5gwPdZ8R
BMYoMTAb67uo5bs+T29L184+a6v/z955LEeOZNv2V9reHG3QYvAmECFIRjCoxQTGVNBaOICvvwtZ
isnMIq2spzXoSVsxEYEA3I+fs/fa95Gp8yho2kEesf1nnXreYvUKKP61QDfG06QykdOcbKfH7RNT
vH6jSXoOucp+QpiJnFbHnWRa4guzceHCk0RTWfQUBklne3LqRIc8AlJBgeGXUXQGWe+LPkH0Knhe
SpCg2XIOz2GbVvXVqEGsj7PprtZJUzeraJvHRPmgB2MUZj6ECFe2Bv+PrYiHaGmuCD71Zl3qLkT3
VBpGh7hRqs4RoC6rIyueXJkkDmYrEieT3JWkuPPydiLdVqyTsBhKB3KefRbH54tZHhdGYWBkvmFO
a71cH1sYLXPWfv53X/m+r6wwgL+v8ffl/It2y/o3f+wqivFfU7dMurN/0pb+aLcwHLEc+a+WCgv+
H7vKCmJi3o8Qn0fUYXLw166yUunR5//uhVgL8n8wAQFX8GZXYSrKVkJbh/41Bbr2xu+nxXmtRKPV
H4vMxKVd5VBsq4JD49Ws0lkhQ8uJw8XEjDjKcRlkYyYCQ+lVJUAUOQOZ1+eE5kFjJ818mVKwkMJn
D9SJpGZNZoNqxshjjbl1WeQkXdIYZ6gnhVStvhQ6VQmjwxz0kzUMTlv6Floh9LuGIbrJoyGRdi8Y
h1tIUb1JygoO8t/QGai32m3a1c4hbmRIrggs3UYI/a6pmKXbCPga4ByYM7O08JVGjOec1OaNaifl
0cqz4Zo5qvgk83bV+zGNo0+j3k4wYORi5cNUAaj+8JhK5COzfMc7U1eKjApdm68UUMr7bqjEISsp
1JV07H0gR98qYXerOF1tX5Dy8Eb2ujrgoDbUfWyk/S1mucLjDhqf7SV3tmOciwtUiXRTlmSbS7p2
bS8yamgtQmI+yLSjbQWxjtH30p6p0nxs5TaFlkKCsV4rADC7rlCEqyloMZax39GKZXyr1I7iO06s
PmtLvZziBewLks5B/ZQhbjgfGnjmM9OiR42ZOCu+qp7QSUT+YhfD5TBkn7ml5R5Sl3KjdAlbfCrL
9kEXieMamE+OM5IBIARGcjSSrts6aOeCdHHs49LQuCoaTJTOjM4i1qL5sw5H6cIQYXc/FGurxElB
5kqJeqDMyhfXjLtsQ/IWQ20mV1cK491NAljopCWYBPtBrs7h6Y3nXZedhTNUb84aRHcb8/RN6HG+
s+siOptofPPZUks6JMTLnxVJxz5ezXnOAIdI1mYmlL6OkJnpgqdoMnAMuovqhGd5K5n3gyM9VHKs
Xqh07y/5+OFGygr90FWqvunbVr4ElTPBWhbpPkrKMajo9R30rp6v4xZ8/dgJyFXJMAXgzEKiD7su
8v9dWb+vrPK73ROCg/r25T9e1fUMLZg1J/28//L//99vo+n1b/9YYdeGtsZolWKbNgr4llcdFBra
ugL05S8F+R8rrE0K9DqZxuoLbeUH/ZRF2wUZIRS837xj/6xuX8XyP9btnJxRafFvQq8lO5rP97qD
4hQWjnLsJ5e0OVTCSFtKrLMcmPxZiY6bzAJ6FXMaIX2cpAu7XOldBi52kcJPLmEmKX16O0X9eWZP
N6M8XcwhVips9NjfBe7+JVnOnKS/FwUTx0LbGwl1DwF6brOm9E0T6pDB9Kai2ScLIUIF8l0UXVBU
LGfatpr2TbOj3hPfUzsZBXt1Alu4XVnVi80YK01thD2oH1HmPM3gx9wu1+cAgWXhy219q5v4ZPRB
Uil5OCbXi+zNonf1COpSW4YPnPb9XsXJ33ZUR4n4ZA4ZI7ym8A3F+oy3I/FGM3k0m6mj3DL32mQj
T0H/K1XqoxnpW9uqlzVrYxMjeXG1rtip5miAEbF33UTS7ExJ4yLm/gSv6lPRT5fymtZMlNcT9OrE
K/Rsm2UTKJAIwvokWr8dUWzaUf0lYlDvT0r5WJMUTSoTYtdw6L+aobocu2x+SWojPEeXZqGFoq5G
zxtIpa1cq4jefTYIEhE4s2GomRg1iuxcMZqRzJ+xJeawantoA6O30PJYedrVJp812cuNaQkAyDA2
cxb6/ipwDXJSYPShCdrYWL38MAfT2uOHcFsOaOjNK6K05CQMSrlLzom9yrf2OueA0LLcY/OLSZHJ
QyrcHOaIWcAIW2ckVYshB5Wu+Th2RXHNYL05xWtr116bvM3a7h3Xxq/6vQcs6Xp6EX7vDEv0iId2
gfO8FHL4aSJ0hWa6ITX7UpWvmF8oQQyo406eufHb0FbNZ4lq+JtuE5dVrMm0op+HICOsFpIBQ5Q1
v3Zck2y7NjlXOvUA1IW7LoKGKWtH9K3ckYErNcOxjUnFDdd8XIuindE7419rTc/VidHV1zzdBoZM
aq0Ju+Q5hCFC+GxN3y3XHF5zTeRd9BVip5DSaxUrDON7dK+a3EC8X7N8SfWt1nxfdPXjvVPY9t5E
wOnGaw6wZJMIDJ7827RmBBd1Cs6E1OB/F/Pvi7lOXfn3ZfLNS9m//Md9aT+9/LILwx//sZojC1od
vZaG+AdMkkw/+o96GR+waaks5aoBu1RZF9I/VnPjv2sHnXUWjxHSoNdMU21lmpqyzUSTvgn/7D+p
l3/qwbBf0HyxacUAsGBK+uNarsVI+1n59GNcPC/dcZqeXt2W02+T9R/oG8rbepwvoYIoA9FlszkZ
1pvdYiDhhniFaTgOC1IT9C8zOpg8TK+pXL716GPatCWFQcdsqEjlHhXVrm1SpCeUhOaqsKmQ2pRW
u5OQ3qQE8lGsfJEAdKHTQ9XfTl63inWWOL9EKIl+Rxv7RruMilXXMyWcwbmJnhE3xbzRAGOyW8jG
foq78JswZEq3Ijb9uU+gcetJ/gX4FWvPAsJaZ7qH4zWSHlOswr6T6Z+HGCZSr4Btpb3RrPrVig6/
fWnVNEdyu310SPAJADKvxlVdnFK8gHiPKhr9rQaEvy3PxzZ5zlT1gm2curaYyTVCTpSX1a4s+4XK
uyGqLd+ilYU3wZRvIdpHkgWHD336VmTSJTjDili4ZdkMuu1HdX9joRCRyPfRGod2i7Qr6+Gsr+WK
7PL5asrADC1TSUZS6ys9I0/LegmVUbjYqOGCSf6QJS89giA6ZUguDHtHWuCltPDnJMNCTHrqsujM
GSyqYeNCL8k1aNXxkGuLb8L5aOtmZ84Nu4bu3KfJgp8ry09tiAGqW/CPJfJT3ai9N0spWYj6LfCr
bJXyZmBu9Rt0zHCWuwlTgJ3s55x8EiM1DIItza3cJMB1zex50J1AyK3Hb7HqHnvyT/DyTkwBHX18
0CvNI5TnaHbmU9cvl1miX8cFINBhncTo4yEW7b6aBWeq9IHwlQizjdiB97qAUHYDwJoRY5o/sHHd
0ywHlzJsqhbV72JspKl9NvWeBKOegA2te6r48kwjp600L1+y3ApmK/ba0EDsNV3UsIno3iGF1mkA
uWQK092zyBIyrWfegk2apE9RiEht6vD/SMPAY9N8m6t0ZwP70bX6eWjlJ0mSbzprhvVGI2mcHE82
8k9LFl5luDUw7EYXWdpmwB7rjDm9dRszJW/qIfaY3GDDLopPjlIQilHHY2Av2OLtqSvPEui0vlST
AGaYN6mjPw51B2RIRemC1Jq3JxU3skI6wlDbrtrg+jAaIHWSYlxPKOu8AZjt+YjO2SURsgucvKZ9
StZaIDpgyJRDQQIMFikG2R9NaH9qnR7pOoUsVpLaBLxTYGrvvGKWkPGCRkpwECYcZuCY+A63wtWy
GoW2tEbr5FXsY/ZtOTVKctAvhE+WfZhdV/YqIygGtLyYtQBjqW5PAExPhYRLvMPxAroYxB2HRrXp
doZtp0GUDBcm7QBEazUAqMXYhtPiBMukKi4Umjqo+tXwXiT5pUXeMsmmUncFaSBiJld/Npb5vg21
FysjYV5TDmmsFJ6jSBJtQukizPCHK7li4A0wJjTrVXHD0E3iVbXC/GHIymsxYqjBPgr/Cccb4Tpt
qvuoUUAj1OW51dCXRB3Kf7+aa7AQ1Rj+WaPOEJjtcm3F0OKDXvqLPJW2sREfiLV6yNrRY8p3Jhws
1eWUPespGrIOh4ywQ/Nc6ZlMhkBdPzFcU70FCwKopUYUt7SbxWYkBEmzKhBR5OV6JK9lwZIk7WGx
s6Om1rsMibLSEIa2uuKmAgfzIgyfJY+mcTiAFTXbfT6PdytHtVALxPTukCNzBG5HlVw4rDkDknSz
ei71XmL9lUDxxDIWQKAEXA5wT23ql5WWkwAM3nTc0a0Yt6VezFuW/vghbLiCOuS3ZQHjGCySczbM
bXqWp9GxhMDk5ZZm7/GAxq5eWbdGg7jRJbVkcQu1ayiew3CDJ+7WDOdbuzSWxyUsscsNVbcxBqZ8
FiFYPQfvbS2PhK/ODS5U/tDFNzk8tklub9YqCRV7gqEJp0C/08eSn1jUG80uaBAX1ZM51nuSoTaT
NQdDV5GsYZ1lzXwnx2kwJshdqzq+G3IVY0LjgBjEfltJaetXYc5xZEiFW8vyk8aU3NcmvXkczJrs
pYqmcRbzoMNlRlIaao/q5PQ3TIgnHPiS46WDPAfvb8+cMl8d5b6LG21m9Qq4yFVDtWqWXx/l1KIw
OS2l5bHHv0IpvzdMcSXabvP+ZdRfX4dZD9MeRk4/FQG9tdBoictjAeWuM9U7VqWTXRTPLJetK2aH
H2DOd+NUE+Ob7To1voCNiGiyPGelujBCWIVOdhWHmCBR/Gjx4GG+IfY4/FoNzB5nXgF9gWspf6QY
/OUnNyCsKmgoV7Xzj3fIKIYqYQhcHgVqlmi+lVOYT9UH4SAOyocffwekkLrGAX2drRk86D9eBUVC
TSdqGI91FIPzNPW9VrEwyGHDvjGO6Hak8VGq8+qqBEs4O/Je2AKBzFyzUGny1ZIWm5h03qsh1pyb
kl0Jfw3pbwrJOqAwPENNFyKmomOCb2MKUQMLlffGLIi7nx1kvGQKvmQ96uicBLdFNC7kQGCieZKB
udI+S626QQm7WvWIHpsJnfCqhrTImFxKtiJKm9iERqh+hWn9MtExHUhChmmaH0j0A2BnzbheFZEe
ZMbh7jIhp2TInmCKTi0sf9F9OCjFbSNI+XWU6MIo1lxes2aGzrmKICSvQbbmzqmVBbWsXtL+APC4
4HdWtPwilF8GDvaGtWddfLIlcgQtoexmRBY5DJGgrEtgdYwSNEnmQEXpMfGa+STOVf4kFbu2h3pX
KNPZII8vGS2Nz3NubGWTI72Vx8g7l5xjerOBpkeLQp2uC8YUwEQVZO3LdN5Y3eH914UJ7S+eh1Ug
w+MAXhGA7o/PQ6hJFfBLoz/iGXjRnK7wl3rMjyaKNpf19Jn5JaKHLvYUc2JImCPz1fDCWnzRMAYX
Cafk0EuAmRf1YFT2o6aXMdoFo9lgftb3haHiDUjAqI/2uKoEdZoQbOq+UJCv0pagHmEhIj0SC7zR
3EQF+eWkuVXsBgM4GQA/Zd1szGL53FbmC8IewxuVir5CQei3OlM7zwyjesU3q66h24CjuBXmY2qb
e0TNX4BGM5ASLAOYk8xyug0dRAuYiBqg+yb0ugUQyzCrN8Y4HrI0vqEZe02awNac+0c7y/Cpk+8X
0I1fs/CY6w0CB4BBv1oDXiqHKjuHKb1IPBOIb7QnRZMelXhEmdsvWhBb8mZcpAk9SRUoeruV5XRP
RytQwX6yG/lMb2WPEeS5BfhGKMgflByPUd7faqI+OvZE7PT8wvzvc6O1L6VlBsbM5wQ6yjThsoqn
C6s0NwLHQmyR4ZmUlqc6yVVWS9meOJOg6ubAzEMsVasu0ow4l/AyjpJzBZf0W2JJDNNm2dOHFKH4
wFS2i32VnhYa2Auzg/SrNfxKq4VAjxZPrBVqNsQXEqm0GSO3CpF+JCUnUvrcKCYJK5POC3bxWEQ7
W8mfxrrbEIBeOntd9xWFXTMPBRl4xOe1Re0PTCnIq5O2DD/OF4ThlsOUTyiRIKyCRXdRFewYtmsI
+4QNdxeVsFRFc1HaBlVvn0vE6mEFnHPrTI/Eeb2mqZImwG9TJ4oncPLHtThIHaeE3PRSOALVYK3p
syfTCCyAvcI+FtPGxKSh70JrfKhlxESFfDANXLyAKS4Aq4J6C0OaWepoeR2WGM9KIXyKESsVdcMO
Fk3nE7u7a0eqEKuiR24x/wUfoXywtX3wpr4VMaixM6dOnQ1Hk31/7A4FnpFpJChCXGbtQeHE8v7a
8CvR/KuVQXtznFbjuOR0wcpQVV8V68s4Xa9uxehR6Lv3L2Sse85PUnnyvPASoV7GAvjjGiQ67AHk
XE7HRZmjoE4ImUtC9dboomofVxLP3DQS1ZAASVJk5WA3aHvMFBf5khJ0jD2CX0aRviH4u5pKzYY7
PdzT/LskI/oGWwph6QAqO/VmijDJln20KfrkuUz1B4kR3nU0ZGNgxHG/LYzh3MD5TmERzApIK0q8
bdlr1oOjOjc1GZF0Us4Grd/T6D1fgD0btXMpsui8Zdu2yEzMVLycg7Ra9zwMiw9F3QZJHu5FjTU+
nyAGGMXLIs+Gl4voqZmcltA77LkqlogP7uqP/ZbfPQ+vbuobMTguYjDLAPaP9vQcL59m+4Poqo/+
/Tcbhyzl1MhgO4+JfVOnjttodx88Fu8/Feab568wi0zO1Gg+Guop0YGi9YEcz977F1nvws+Pnm2b
lKS42cw3j95kdSLuyP49Yv+FZ9CLgprkDrzGB7/G9ySvvy6EBMlhQAy9la0W/A6V6Y/P+JwmpYiW
GlOrq3xmU/Nv803oS8HoJt6DW7oPe2IILz5dJ158PwUv5Jp94o3udtr+/S/8S1/Kq9f6beSYMyYO
Y0uWkX4z+qDng+lm2BZX8cYJHMQQG2XLfd4oHgp6Nw4cvx4D/Vj+pnn4e6/T2u3763b8/HS+mZ3n
YYfBt+W+PyL6CKAmb5yT5V5iUo/97YPhXZh+sXWOQMB2MGd3t6Efbacd6567bCvH7XxaZ77j4zXe
ldvuMoZW7Ub+PXOBI1OUrbF39tW52LV3xebm/RuoffTgv6mgJbVLcojZPJdu5dab7mu9qW8Vv/FA
1/mxT+7GpjirtqfPF8GwNzwO7OkZYS9n6THy2Hxwa7lfQu/+/U/1BqX40w39LlZ4JTZOkmpsLZNP
Fe8dN/aWHWD/WzhiGdwk13RDl3B4l/nHsdmpzzTSgvevvz6+P/+ef71Hb1YblhqJ7KZ5OspLFVhC
nIN2OY4Moj/YlNZV5b3rvFl17MTWxnEhsJ6a2h3FZ3naCfPTrAH/Jaq63rz/rX79U//5rd4eJqWC
xd9o0uEYWxknv+s6uvrfLvDmzMfEjhDmggMUEUpqSh/Qsfz3r/DBD/NdpP7quYA8aZcAIedjVR+7
ItvU6uMy2B/8Kh/dpzeLW6fkJCpZaX+c1l9lyQmk+echgFj4gF7/vlBbbx6woVq6oewY1IpxAnSN
5mbyluL0/s364Omy3qxKZhhJM805doPJ9HQHzU7eo80H4UWIUCrU4xglH9y6X/4+hqOAYsMp4Kzj
l9d9ERxlWlgn/XDUi2+rSgVMY2Zu3/9av/x5Xl3jzUuTRw4K7VifjgY8T0m+KooPugofXeDNkrjA
B9PSqhmPMos2zegMWvH7X+H7/vjei79uKK+eY5BYNqwQnmPOBjhzo7Nxlx04InhnSGaC6BK11Af4
5dUk8u5as37rV5dU6P+h1orZox5pDJOn7h0iru2KF+Vi2Y/uaSGsiq3bCAoPUf+V5F6DMGVXPz01
J+2MUzvAh2Du3V3pxduPPt4vN/JXb4T59slJWoBUIS+dcrlu5JLbwU/bl4rnZlvdfyjdM9mdz7/J
n1aK2918LlzxweqlrsvTez/Km999lDozbpyZWsInUM0nC06F8nKe+9fO0bzQtoP/RFiYW9Kx3bTb
emt70gcr9EcfwVqHgq9+JOJgJL0UdX+UzisXBM7ipl+MDTkp58PXaYd//cLaSlvpG2ANb9pml5Gf
fn3/0fx+8HrnLlhvnpNs1EAWlzya7WbakMjnJmtVt8+823E/7fdkzLvLsS/cB6bqfrGpt9YJuJ4/
BPEepsjzRwT17weznz7PX6+78eaW2JLDbAgCxbEJ9K0JvcefNstmuUBD4H6O9uEm8+w9BB23upg8
6y6wqQ7IUNtmm5vEX4uE34uDf11s6wj670f3QI1g+n3pf9ZgrX/3x9ReZcouk2CHm9LkjLAKYP+c
2uuQqogixaOBSgst1J9Te11hNA/Zat0zEGApaxv8LxcbXgyVPF7+VawXnLb/gcr1x+0JbwgZXiAJ
bAUPPcN7jBg/vF79AJfNqgxxYg4UIbiar6vuo91pBZS/XkawRq/5XXjzaUiTeWq8WdsViZF1mnX1
SRNOioNHNzogmrGmluQ1rKl8flOZU3a1VIlpH+M4th7byFKzK1s2Zo/Uw0lFjVMTwVLhj50uUIEH
ppYwb1Jmd1g0b57zU2hIfl5J+7lzAM5VN71cYwWIlWBprOsp6XbhjLciph9UJrQTDb05w611KdnZ
p3zOXiSQkENd70HjPc5jqnhLEl9GfRfYak6MPXMdZWq/tYO1rRnoEG2lW9uk0QdPIv6TY7/YNSO2
B1Jg7uAyN1oHSK58jEx5L5OfgRi1Pmum8mveORAaGC/Spf8aMlqnH1XTupPpHTRdu4GoRPKLJXy7
RCvVilVub8mf1skrfgEEu3p5OyrRWaiqd+0UwzlI+oesoHyJZ/G5M/WzWW/LTZPWhzKeBDNUi1C/
JDS8sGpv2gQ4pKVXfRDN2qGISjK9O+0qF1CliKh6lFINjZRFSrVqAZBU+28AhmHjJWqF57c6lZV+
bolWD2qd+XqeNenOlOmd1yTW4LAeSkAqKqLVEZuJXi8PSlHtNX5Otxqka0NIJaO1/FYUDqGzdvYk
Na3uqpieHYR8x7wXihdL2RlCWHDqSsM4045QAn+m9tg4KPWSQqiePjWd5+TlQ7iAWw0bm8CjSDlr
bVgi/WhtmVR/psXEbjhjSbT0zzaRJL6dJt/swhq9CP02zVvnNmrMb3oiPMQBX9HWCk/p6CeqoMgV
dHZVVJxGtfukpCk5aesAUsvKPUOMwtfHfpPYJoMRDRWb3vUi0CWZeWU5nBDN3pE3Bpsy7wE1xS1d
4fgmmnrQKZxovDLUEFDTfBwji1xYfj/HTm9UEFLZiJprcsaHDBeem8zmtzR1ng2kv9A/VQ0ON3Zr
iZb8AbV460VpUnusK3fR3NyUuoE7PEOqklsEf1XkxCnT9Dym+dobb4bAFtwPTBJPmRnemiOEyDEt
v+qKMDeYHu6yKL/rklIFR4s8bIz6Q2FJ33rJfgJtqsPJiT1KJbq7U1g5C1hPE1hOr83ZvlZ5+unQ
tYyZa+6GszhKc2tEgumBSXO9dvLsLpM1Z28sU3oyNXHbNOpOWuqvBURy3Pkk5FX1F6XHlAg7JwqG
3k42mYBS1ybkrOg9XElMH515XzrBtJ3jOb0ogN0nknTdDqlToAZF7OGHBci3kT6zZE2V3zqE9HY5
+o+F5zfS6u1UaYiTjcKzWsoF6KE17ybKRk5NlfUY28bXRJ4al324Yf6nbAr69GNMBIytv6yZdIQr
ndE/fIqIV17XnOu2VALyBq4rRdsLsrGgfPqmFN2rGeoR20BqJ587IjrBjT/NRXxYun6DpcoDu/1l
GHGBxlbqZyiOAuCVXtYgcu1aiOU2Lq56PFogw9omY160LD7oAwH2gFFGaktuKEmXc9/eF7i8glDt
vkJj2KjN9CB1X42BJ3E0rY2mQ831QhhlheuEAlhbOsySFMjjbN1bRLxtm6ZVvTSakKfadV8fM017
LCpduiGoL7DGMkKTmbJuuVml18QSgk3e9nPVEskLz9TWivuMmWLbi0ch8vuukZ7kAnI5HKflxIbX
bNq8eWlUZR+32pcptC+bhYNXjqQebirqHKRRftIQ+iOlebIplsK51Qt7PkRFfJNE0adUJYVaZMhF
2mW2IBySxxWCkvD0Pn4qVX5FEd/SF0l9R5POhrF7HJRqubElQoVDCdEBtlqa+wl7D6Yq1oBByk2/
G+rlUupt6dZMNUINZ0cEUQvJnbe8ewidbvD13ip2vM223+S9r5sj0gKlF9tQhVKtkSe9FaUce2MO
RjHq8ehJOQp/gZx3DTM9oa+97vTYa0xlmwKawp8VEiOAamsxldvaqB5bZbqJjNbcO/rwWK3SL6Yv
4QfYo/V48KpKXDddjO74NU38K5Yhv9nZzXyoVVtthlOFA85U8AHfmnxqA70ynfFXdc/pt3/1tTbv
xyqCMkWFX0b6C+N/cOXK2wq566qpV0UnTnYYhNl9MzNCvv/fLrF+hFfnAJE3eS6GXJxqXkxM3G48
Puv1B72/X34Px4FSRm2FxePNRboYOTQsE3HS2tuG6lmCsr9//3v8/LNwq15d4k2fox8qO0KAJ066
fVM0m6WA3SkuS+slnT+40pvj7W8/yqsrrZ/k1R0jrNkozJ4v03BuU0rTi9WzoTgIhlfF2cJB6v0v
tn7wH583gDVgc3RA9hCY1lSZ15froxQdXa8IEL2PyjolM2+j+HwuHr9f5t+zhswN/fuzhv81/88R
ZfzXnw8b6x++OmwYHCRIM+Uho3nAUfXVYUOlxOcN1RznB4nwd2QGLA0ZdqDOT7h2xP84bCj/xTK9
Bu+aJpm4pGn8b4cNxWBCAixDdlAbfz8nvHoimQunXb6UGKuAR8tZQpZu5mnjR1IklrGfn0VchTA+
NAcpzE8iIQl5ISz1TJwMAyhoH8m2HhjLgAUKQWOlRhlpoRaE6L66pLtx0WT1naWiSSGbfPJEkfZB
1ioZClvD8ZHay56GrBeUDycK0rsfRUdEfWHHcGPXEIC4y29qLuipdX6qZGLgsPSxQzYqs3VpXAkJ
xQqYt8+bYvI4AQFEULrFZ7620ygrYfiMG5XYeUhLWEI6OBG1xfDStg5sEI7L13wEj1Hh7TVuNFW7
lorpKEnGEUns6MoCqLZpO/vWGY8iLEDZOcod5NAcSMZI1vnKJR3G/sqQlo3QhwfHbr+qkfUcFfNT
uxToQxmawxZkzE/euQn/ZsOga2c6YbvtkOV4WtveoS3YJbYeeTneWdqcn0rc6ZuxkGvfHGdkcSvj
QoKA5uIPxE3SL88KAZ6YPNJL3ca/gRCG/r3mN6sM11Lu2i46VMgCGfnO11YzbDEd7SIzktweWwYf
VCM6ty8JVFCNG2kGt1j06Awt59npi0AGLjg0mFm6Qcd9CAqdxjIKjS7dZtbwzSbh3pVN4yCNBPKR
61SuJ0xPAaGnisGbZuZQIlYoNJX81ORxutE00Ci426IojNxe0bfOyL2NVw6IZBqjX6OIxqlEgBry
0XKZfW3p7hOTzJ6ow6ys9flNJ4Y9qvGRyFv5M01mRF5ivs+TxNhO2nKpToTudHE6uu3SflFy9Ysq
cpjEk7KrcmdPKpcCoFhsibW4KjLbB2JkXlgaaZ9mXn5e0voxtpDpFGZ1Cxo4xdptZTsxaFvLQhmq
hRuo9Q4hicWE11IXcQA+pXkp0ypqN4stEUFvmAhxFXnKkLLPaht1O100pS9bYqPYYkXUt/j5clzV
6qx4cqgQeah9EbKzTwwFnUvVYvTO6vE+M7QVpC8UGSlYshJ/JyXxs5Tw3VrfKWRS9DIZHnbzAuD6
Wsmkr1QqmdugCK14GolOGLFtdb03OcKvREbkZ2EQAiHGC7uFF70Wb0aSQa0nLXWfD5F4MlOrC6ao
PkSJHHodLDKSmtxY7y5qQorHvtsJ0a8KTUTRTuqNqXxK2+qQmbyyWpmR1Gqc55K0X3K6pXEUxyh3
Z9JJxuSLKWaYCyLV3GlQruPe5KzQf81AXwMnIEjArB9FGxANto/19jzrSYE0kaal8jNIqsyDVdq5
c/6c6zej6Ih0GM7qKnJzCcM552t1I6+JHTosHQRDQtN3I6e5VolBOKPEQkJLzqWs0A+JRh2pK8HQ
UyX8UGpbVxf1dgBRMVfiqa3II0xm/b7vsZ3WUqo3t6uLKrJ1eAzV93PYqw3mF0Xd25EjBcSqGcYF
jZMafObb3lAH40APZ3M+CTCSrr4Nz6ab6gDvwJVeyoc6yPYU5G54Dp558NPtR5PsnwsKLu9Y7Dsk
vBjEGfxYUBCubYySOSyn0Xqpw73DANCZniVU9u9/z19dR5Wp+ZAAA42S39RJTs+elUzjclJALWG1
y/OvTrRf1WnvX+fn4vL7/aT/hYgFG8+bAqlp9NoYlFhGnHTempe1xsn+o0J89Ra9qcK4yKsv8+Yi
QyzLnZqtN23T3ZM3Fow7+Yvt2wS6HfBpR+51GxBLs1F3d0fbz93jeEg2910QBlfpmXB3eAAvep//
0K82/C+4f/8eqD+Xvyq8F/Ii8dOD5//OSH1VAuQD+MFylpUT2T3H8EoO5IPyEJ2pwpO8geb02ZOy
nbxjsxE7lIDFOVqvK0JNNsL9vY3+byG5spr/vpC8GYikan+uIte/+rOKpPuMh0zlN6I7zcv/qopU
/suhkugp/U9H8R9GM5g++JEcNlqw1ByfeM9+ryI1aA4g0mSZClPRQDT8oyoS+sIPDzlaG+pU1gas
bjSW6Sy/OaaNKtEkjeTMl4bpdBuUSmXQ6XJHUJLGrgBuJp0MtxkNSfKMsKwPQgw3cGi2hp3h32gX
MECxbFxMJQ2fMVUx+HT6GeUkDY9Z6zaqAgXZROy8m8amvlJ1vC2Yd5A+zpGx7dLq0VmU1JMM+XPZ
kISoxMtVkWBTCkWV440ZadpE1iXp5KNXViOG1trKvKSiKUZDEwdsEpVeWahXmSbl+7Eg2qcIjUBu
Y2NH9wqygRZ2ewUVqE18Q2mQHZVdwxP+KrLmpoJlUxerV1c2pX06SdNZ5OS5t/ROfSkP5jPrw7XT
8K+ESnbQbVn40Bb8biLRPRTOAWMvUq7/Y+88luO21i76Kv8LQAUc5Gk3OpPsbmZygpIYkHM8ePp/
Qb6WJVqWynNPbtUtmQQ74OALe+8l0sUY9Gc1me6zrrwjVOgQhc2zqqDELjP+2IlJa+7EFwaZApip
zcupdF4npnnM2hOYc6I/SBsevZ8OFWgLtl+hNa5d4b8kZMaRWlYQqdgQMVrBkSkf44g6056L5SjM
6tVgyi9TJK7IEuL/OOV1FAYp0TF65Zyar9gVZSawQPFkXqaiyK0Y7mHPxSNGTjacB5LyN5AmDp3m
Yoib3iaHJDrT7g85MQaM+EDiNA10gLxryqWRobQnkqDcugGOt0EYD2UHpGIGT3Aor/oZRdHINx/5
LbbCdilgVYDAfu9sEn3tGWPRzkALbUZbODAu/Fpa9LdgL8q4PIdwMJwZiKHNaIxwhmQwSgIvDDej
F+19DEejUwFqWBYRoU5KuGW1NmfkRgh7o9Os8zgED+0M5Wiz5hDMmI5+BnY4M7rDaUxQG0nQevYM
9rDTPFoVM+yjmHWF0cz/gAOSfAWCQAbxBwdV/wwLaaGGEMkaLFs4IvYMFGlGhRxxxYd506IoHtoE
DXxgEOEsOoCE2lR64wwoIXvjxp6RJRM5JnDVs8uWeMwl5G+s8eOkLKJq1uAaBhXVcLY0pnGIHBb5
mDkrs7EuMkts4R1D1Ajc45hjbk8VYS7tUNupAesfPCqkIQ/45ZFMHotR2dUFga4E2L5ACHmIYaiU
Esuj0Y0e0uQ3DqmrWgQZ6xDnqh9MdRU7To2vIO8vXEkoRqm/xnN+UFOGW53cvyF2ryCS3kA2iJfM
LZ/SqlUXjWIGa8eM43UZ1B38Q+a0RXUmFTGFE5m8xRP2SSn8zdQRSCdShXLdIMbVDaKbIgwIFIF+
tlLK5AHy+YNWh8BJe+NzrcbPuYV7iW6yXZQFoR0M+y6Z89zHtXLAMrZ33IwH3WiurLDc+zjq8VR0
yx6xMV4U5amtJAGKxUVRZ+kCsBVL48B+bCck3Umgu9u+tF2vydxsO2h88arGNY4iKRzFq8wpev36
NPjvsSjYSv7zY/HyLX8tXqKfJUTPP/jtySg+OYxQHAeXtfUHfuG7+cpsf6aoIZiUJDwqn/89Gckd
JcoIhairk/TG/IWi7Lsno/nXjvffLHKtubT7YQCnmjOjkcA9kKpMYT9sWe20DZxMBMpRU0DTtCjk
ISa/+UNIFICZWoQGqGtTi9e1DEjVIpuuvnbrTDkLe0bwIG3P7esgwPrPwEHqXtdo9YPvRLZ8MRWH
IN4QY68Q0tjEFWRTLM3TJmiYXTegKjYAJOsFAffOZmyjcdWXikuTIx7zMlFfgirNlpXAklWE5EAO
lCiLPuhJcSz4b3WbTR82vPoZyCPMlCB1vInh5X7I7X0cswYd9HpnhkTcNZ2y6UT3hYWwuuirOgRR
x9oqFRyWiryUAdLRzDZX9Fv9lZPTnmbQelcEyeqbWvI8kDnmnzoZ2bg6NIaSBYoTCGQtfl2uJn3w
RIudDEKCvgA9icHBMeWNpj1EgAs5QJKrqApCDy7nmfTpHEO2RkZFzBJ3iI5DVL400UCYIK2/0aZw
aXtzWNnOOG3Y6Eb73MbRSes87hLZqKvGrDAQ1X7NQ2FUobKWjljwsShHlqtyYRJEErdYktvI2Ffz
AyXpi/E8ObG9yZE0n8dePWIPDLduMrtMwbAT5jZN0RpXae6zqchZ/8UxZUztc8RNwp43aCNW78ax
5+40DCd74RLneoPFqtxAIi7VFV/sfJfXPUHSTRHtfUtxLiODzKkFsdz00/xwfqlVnX/WuvApDVmx
hbn1OahxPg1NKlh4uk+JBgPbb8t31c2yJY/Fi9QPWSjH8piqCT5tmb2Hk+lVetAeyQyQID8MiEO1
Q9Z3jv1B6a1d3Vf2XpilRjcvCYKd1UdZtjFC/setnaU2mggdDTkIl7jXcuAPaEU3hz32POIve7NU
9pKhkIahSWcSOGsOalXOT6DR1JcCM7pXxml7ATpS9Tq+aMe+YCNaV2Z1sIyCOURBZgA7eLZuU7ch
D+yZzFwPW6zGBmJs9sOY6WTPBtraNHznKgHHoGTuK6CiCyvOzkXX3fmKftmUtugWQimvJLLiHXwH
+MfFtFVMPHNZa6ZYAX1/5ThvrTIeotQ+4H27kCGB6HYcghPC41NMa17z0ZE5ljYCFnrlQNd6kYVO
sIw607/MnZIgWnBH6y4MbkI5Bkgl0l0do6Or+JCc0N6X86hQAR65EInzOSAUj+yw6Dj2Batn7IAL
pe2zpeNWmMHSHY3xyiE6NKudxVAk+PScd4tMGoq9dT3Za9ZrQBwb+kShXpcwQ8Iy3tlklLkDQ1SC
bxdha4aLYUzvHNLchdHdsXqGlQmv1Tr6cDL2gCvey0q7Zja7s9m3QUxbWS08FTUcD1i9ljgWP4eW
vrHqfkW0I/tPkwoRP7RTiFc34R7O0pntJa8NIn29rCovZTURVGUsSz7jLO5I0KTaCBhF9pOKR93P
XiYpb6k+eGIn8Q6/8WkqxmM2J2PGqKfGYgt0dclBiofbREyZj1cSkIaY5C73Z9g3Y99JoUpItnAE
lsShbK1mXNMOzDSn6MVyMDcqZAF37jIJcfaXxTEvVYjMarFBcAjItgtOgiov6oPtSCA7ocAXfS/X
Mo0+V51gyDYuK24R+p8lPiOPof3Sb9O3On0r8K2OLeYyB6C0ilBgyB/NyvYaYl40g2u0Na4WcWQ3
cNO01togD8gMxmtjdG/TeCIpIk3JQhjUTUbmoQvSazGzE2my1lQp77KK4FmEa8nWvAkdz3KAiwVN
uNM1uWW/86hq7X4ynRtq2UcnbK6DXp677DWX5Vulsl4kvIk6P1pHFsp5X3pJYBATLVnBh2cclJdF
r1+DLXnXlHZGdDC9JqVYVbeK22+dRlmrYXoTm8VFS7RnzV9qs5FdWGY521YPjdqtuRWvGtdZa3qz
133JBSHDl7xhFJoe1I2cID3xMnTFI7/KWI+k+TDtJZqe9EfPDoelzIfPTd7Q3SiHtC12Ezy6gvSF
RV8nrC15SISlXy3dEIx8Z9kb0fYPuNefW1AtsrR3ts0uOgQzRs26xam2I/cTN6Ppbgi8Y1KoPhR1
fF0o2sY3xnXkd7x37gq93tZuTb6d9obAq3NepIeS2W6vdDdpZG+d0T/6+rTDvr7vfe0yhA9C98Je
PJWn0ld33GBoOZxzXLsXujY+lcj+ZK12+AGdO7+2zk3dHPPGvO7GQF0QkHfTMZjtS0jEc8Obm+lF
agbEtVUqyMHgsp4Pqql4lEl7ECTdliWClnbARYcAd5iLnvzgl/ldXcq9JsjYFEZ4VHxyjwIZMexu
DPTZot3XqoqVk9xRiMWKEr+GgXUXtxkufxQTC9dun2agjDCIYyiCFbDUVytjqNpWj0kd7lgsHzlv
I5pfkiiG5kBBy30Jlm05qdpTaDbl2tWT24ymaFGN5FXp2gmcQrxK0BDlBLqsWX5v/cRaDkLJVhFh
I31DBxgMwVKTwkvSGO9XfhoDaxP7I3Gf8rVUypXSxJ/b2kSgAjmOHHZagN5edV2wqkkrXypUCEnb
LTMAoh7ctG2vOK+4p9ck/23IhFwjFlnlBcPlrIlxpozTeszyg2yxirXmbcH0mqiPcpmjG2ujZKmE
RHLnAkGMismMiIFaK3ap0l5OyvDU1OVL59SrICbtyU/Hy97o6mWm8vj7rqT9yUT3bxNIKkRmNJZt
YEJ3AWv+OFFth7quuyhXjmq2jbBjFsm1Ev4Oc/S3Cd/XixAFoOpEvOhiHrd+N+GLlIzFi6Epx5Hw
jmEzdE9j8R7AuQA19+uX87OCd7Z1/XmlD4Pbwi+kNvlcSSAaNGZ0MGK/aVdY93H3HNGG//pyP333
uJvwMTL8Ir3rxxcmnALaZFoEp155brtDFbzk6cuvL/GzV0S1TLHMZZiYfbiEj5tZdWUZnlC2xcOm
k3KVhvTnwSYiwVK0v5GI/OQVGVjChQMK1RCa9aFj6HOrEVJto1OUBwuswLAwN2Xym9fE8vhjW/LD
ReZ//+770PhKa1o+F4nZaLT1Bcnv3q/ftd+9jPnfv7tC305tX5OSeKrLS2sGhhKGb0e/uQjj0F++
jA8fTZnMm6+siU6joi9Cc+lGJ4NUIdd+MiNs1UfRNb+54s9eFhsJVdiMMU1LFz++rATaXpRD6D7Z
1Rl4C7DNne2///u3jigKAp/ZkyPi+fDW+aauWDA+4xMJAKvM8mxClIb07tcX+dlbB+XQRRqi6RBK
P1ykGELbjiLkf3X5lFsXKH45bENUaTcx2d89hgv/N8aF+Tv1oRXmiPvrih8+LNDqbl1qMj6po4KV
+gFYxW8Ogw9+lVk4jdAC9bYAJjLrGT4cPk1hhEk4atkpvqh3aD2XML+W5so8h9fmEh3s+vdeiJ99
Ib5/VR8uScowefFlH596ixUtTiXhcigU219/Wj9/7xCJqLNsDFbdj187awKP1WZqfPIrdym0wzzI
+/UV5nf/46fDdoFvmwu4DQDAj1coG4Fuu1Hik03rKx1BtfkcGazL4/g3r+Vn79j3V/pwwNERF7Vm
W/FJM99C52z6N9X0m+Pt55dgScKqkjvpo28t0pLeMaYgOeX50ewgfBC6KDrrN4+6n91CfNm+XeXD
R5/UfdjKgKtEyUuqbEn1WNUG6UTdEjyAkmxS8zef0d9eFihOQGNodHgUEVjzoVQgBdguM7tIT22/
qernwVpV0/WvvwZ/+6J9uMTsGvju2M6RQOvYi9LTMKGYUQJPxv9DevyjDfnnl9Ax2bHddZmz/XiJ
eBwzJaXTOjXpizLt4Bf85nP521eZ10DcODIik8Gb+LjO5OgkHybHp0idl3XmMox3UUxh6r59fa/+
m8rOstR/nspu0rc8//uucv6hbxNZ7RM0BNaVxB4Bd5plh98msuITbnzGrdw5GBZmWdtfu0rA8MB1
Ccz8X/Llt4ksa0ziJfk3gQ50vuX+jeIN/scPhx27SqKqHJWdKLQTcp8+QqJy2dhi7Bz3KDLwC7HJ
loVo4Rn7rSt5KGhOssZ/dmcyONHEQMKzmRc+EcVhxe5FnbvJkoXcl6Qq9jTlCxZKwVoaRkEupJ6O
MyKdpnEk4a3r3XPiDO9MOCI2YM5ntxMI3QUCpcgLzGqjBhj0cv1qLJWtEqVfzJpBy7x3COLhnIhZ
RdbW4Hisra2Krco0cKETOhe5BHFEMZ57zb0Sk+pFAgkxOYkpIE+5lVpfA5bVvsSZthhZuu5qx34s
Dfgh9fAC9/YSaHtK7BSv7cklBYe9C64Es3irpTO3Zyo7EGZFoKqr46Qoa4Q1+VL02pYp86FP2KEO
LYYFdqU1GnCGk6ru8GqJf/aaYnrImv7SmbTZBoAxtU6MGkIHFZohNrHeBes6wZqiYSeCb6F9dhIU
PIi02fsRC6gV3VM2+s8kOd+EeXEcJcJ2hV3sOmsEzZua7waCghduxPhTQ6PkqcOs586cYkMqIjNy
hfEm02BESPKcmcmuCYjDAa39KjN4KiqSrEVd+PdOiq6H3PfPuehgJGraeyuUvdZ3uwE+FKml7I7d
FldGY+dbd+gGdkEa9A9DIfjOai8IwnzLlHx45PMEO/M8ZdYl1ScS9BS5bbxXLf9maOJ2WQ8k2JPE
41aE+Ii8m+A7JiBRypQsRIsVVeJWmLgJuEobx2A93oebiGUaqMGgci8FJPI9HOF+I8Kk2PG+MBE2
5uFw6DvujZ/4zLRSqRECWhWTte1N1gFlbRqplzJ32GhytrTYeS0u7DTtHpzCcjB7JOrjf8fh16zg
WXz0z8fhKv0/r6g/v/6EqzH/4J9HIjnBDl5DlRMPMQYrqe+ORO0TjHBWUfTlWNLn0/KvIxF1hvHt
RPxxSYUWDIGBqXGSWfgO/82RyNPx45Ho8HsozlX6AdgfGn/E9w/+KvBHU9H65qgaxf2QS7SFeuUp
yJaZwDb1SZn8AESkVTyaBtt410wZothI/p1sIqNX6XPwnLJj2YG+TvWNB+5om/Bfh0hEys71ZDCL
yqIJjwnblWVrdMWq8l1UBE0zXMTxdNO1aDH10Qn3VmnfuTiRUATma2siWhI83B5BabCtdRtO0vjg
DxbDwbi8qYt55atE7lZTaf4NRIy6elCy7gpOAiqJAJQ0JAptLU1cM4RmXqRDtJEVIlEIpIdYpk9+
K/atVTaHcJak9EG6xoZG7zDgRbJG84tFuvyWHFKCYkdTrt1ifLMK6w0gbew1oYuOo+ov3VF/zEWR
71ExFAtotZ9FH55DBCsAO8oXN8+OCbl8JGnYDJ6sorgfY3KXkI1tEs0vNmZpfebcXQdFes58WDmT
mb1ZqbYaianXirTcQCZ6pTi/Hoii2hIV7yyy3mR6ByfCiyPFWnXKCKVv0IHkifvIdwDHQphmxvA1
xbgg043dAsTVDem4MDraZ4AcDPD0ttl0ZO9PIBKR6UgORqLBTmND3nnZjlO2SJEzuhehUr5PXUh6
L1bMVRODRSpGzmZjSsdNFjEirKLY3ZWVZKqciDstYkpSSgQZwgEWFST606QyWMb65Ha3nZUGVy0C
i/2EQ8ld4THc8gBaDbF6rRWFiUDUiRd5hI4zUaP7aDBLsu/YLekzvRYpD89aqxw9s2BvqSjFKWBd
s7CaYEO49q2twBwY4vq16xC1p9be6HLeYhgAfjw+lGb0auvZha8wb8u1imaXkMCFrXSfjayRy9jQ
nxSRPiONJu01sDfSNUidCeOtUIMbrLmNN3YsNITOkTs5a5knHrAwj93eBdiXS61TUJpLeZNN+Tuc
LmfVd47FxFz2yzIJTLLg4hcS7B5NYa5lOF6nYXshe+XWVMLnFqkjAm+ynTrlQErvlar7d2MeH+SA
EqHyxX2Q6WQb1P6tP9qHNuYdKkUAIL1Ec5w47hUjzSffHu6Qg02LNEBuMSrskexI/cJa+HqoCcUp
67Xw3WDh2P1x0IxrXfJaMj861422sxyCOBxQYUhjOouMN8VkwNzez1JzmIBXvWEew2ja6nXG7DRC
rN7IR/Z+ziYOFCBoEblOHHPlIqgUQAyyQPc09oATovqxbrK97hKnpwOaUaf7Lg/JDiMOdVnpw47H
VkR/W6iLUkmvmwjRiZ65WzshAnGyHOb+MV7NCPQxaplmBZ4iW+N+3E6GiBaIpOJdbpfLsdHWjsBd
OZ+4nFJasUqM/lR0qMcFqpN1x4IkUCWmWLXaqrwFnElnXVqXcee+mIhnGFtad8IyLnWjisnjldqi
ZwSIqZUjrg4n/JjqjXDzdWqHtPszyLahGHQ1M91mvU7OZksCY9ZaS4vvWzcFN5pqfLGzNPcC4Vzi
K/U3QUBhhffiGshpvagClnlS2F8EKNKVlqdsUa0SLDwxj1nEkJqTdJ1E3XvdTsxoqongwVq7zaMe
pZxmRy9lqKCP60G+NJwRUfQwhP2xdsNtZjrvE/LlVZv7qFhKdZmwktOWUWMq7gLPQ/aQBYodXE7k
frF77IsVtfvBdOpbV6IHqjMbuMJUPEP+cTEZ9/qiTaZHv3fxE/XNF6sFmjd1NaO39CoMtKNu+s9j
071rHfnCel7v00ms2DlBoGzNc5dMlzhyWSCpdcHrr1ZOOl6o2NEXdUd2EhokFRV2d6uP6haQ9T4t
4nuoRQURLY7NXzM9Au28bCp5n5nDmVjuE98H3oSxu8sS7WoyoVW0qIIWPRDszoYvOOfs5rq80qxm
r47xwVDHu5wFtW+YJytovNI1cggb3NUEUxMKaiGpNw0echZzgygmyC5X0f1wxnroCbZ5lW/ruIUB
lzUcOxYCI0tHG6D52HI1Ypstdq7T5Kg7JRl2eWyFXh3RGyBeEDvKyoh9X9ytCr0k60ato8WAtZ11
BRYPwUT5v6rsj6qMCuWfq7J1/db8TDek8lPfSjLnE8MhTHEUZf+DMHzrUtVPLrGI9KF/xjl8K8ns
T8Q72MB7vlqvvlZrf+qGzE+YvHBamjbQBRa7/wrdYCPA/X4kR5fqCkRDJE7YGkF2ED5/LMkSAGQu
wHf7ykfWELRVn1+2g5CEamZ9WRag/bpp4wwNwethFoz3hRuq0itYnhHMH4dPo97cZGElvZCgFBq2
bgPCxMNDgatEzQVmaARIhRt/wbIecaOy8ZMKhvJ8Mq8QG7d4XJSnYsiu8yx5YHmrJefWLsObJIno
h8ZFbvvzUh3cphopCC1yZ0DgW63QLwVPsmzDk++HkXUKU2mfzBze2NIY/ElfWGStFp7pZ2p+a9mK
vvY5p4ZVM2o+9GSlCaP7jgdxv0qT4SERbqjjvyq2URjHkkdwfTnExn7ozGszMKTn2/m9OqW3nUGL
WYTlC9S0DGUUiqR2ipb1nL4PdSzMyUiuFePK6sSDNY73HQbupU5BqPSKp2QcAUE0h6mXpHU7ctAW
TW4bc1TAg/B1B49P8iwC84Z2/kgLZnroRl4R5txmnfGmGnG0ajLeFNNpzzZx99zPKBcHfj9T4TJ5
lnrAc3KItiq4e6+abVJZ6txWqSbWRZ7kQGHmQPVYbEMoa3nf1142RAQ1YFE2s9Be5LU9LRo1yVck
rqYcHHKvl+Lsiy5bTnoIVcYQ2yLBJCQcUlZdOYqd7ImvVzr1VS1cz+mabKn4JimydrPJcvcz6bEH
SIDQ4d16GTn0tfrkojKlvXfDhjW98mq60zpVx13pl1dMIUpyWWuvrGkziWkjKhGSXFugW7Kigc28
kr0MoTuC6kEA4ZqoCdzehkZH6c/X62xoVbtoneKqNWOFutE/pS4WuKDAVRZq136JNrzjibpQx9pc
xmbfLPm+eSHu7A7jOeradt/yCbZNtzarMNqMJltbS62K1ZQTe9zL41iZD1rTXrltdItQC9G02txn
QXgdGmHklSp862CWaFutvujD+lra/i0s8PNUkQJAPHLpSW0IGC5EAEZr/9QhzJWpD9NuVF7qSgk9
1SiTjTR5SE2amy6HDqZTYDZwn1Tidg057YvSPsYzvq9wSLAouxzNS4/yrDKGCzPRXtM02kedk3p1
E11acQkOSrUPkNm1jYoSZCEDtD7cAJ6hxShZywHqXHt0a+OxV0K0LXyzFrHM8A53+nsmO3Lly+K6
m8plC8Zj4p1Z2PY4LYy8mJZt0t8JhrlbxeDb6c8lXZNGb6kUEw9H+9EczBuB/2zXF5jm01rsaBMJ
rnccItoVgcYeg5+aGcZ6qOJjFFjkKSTXWdpfAS5XGDnZGoV2sooy9ySCnNTolH5iKAdchfUoF1Vu
3Q4acC21Vt99YTyrevqi6uauGnSe80FLP6GIN6NR7pvYdpdZlt1nQyvQvHU3UrbaJrKyp0IaSI8K
aaK9lmSH7m1jtM567JS2FzVIWWRYfdEHUkeESda8YpMvbVaXFpKB1ZTQXfXTl1oXT5Xj6ltXzTFz
uvZp6noYvC2SGqO2qM8NamAkJi++ROqv2i3zJzLTHeQByHoKUm3sBOlyqD/DOLhps9aBTOJAZu/8
was77H9xWWIiiFRCGEtqTlN/6ycJg9WksoxF7/V+YW+TJCcNAnjrgsgopJEqHdtgDC/YIok0awx9
q/qDeRWNJiFWTUUAuCJCTxfV9cBueC8du11pU49sIx/5nKJ1G5CZEJkxwQlxWBITMuxk5j+jkSKa
SzGArdt2sBh1vq1lHb9Ydk4X5sfTysz9dWDokozuutoVpbFOQrK1Q9tK1w7c8AXn4bTJ4+q5JgAj
J6MjGPxNQcl+DpXIIvYZzqJsBnWB/dNdj0pO6qUp/bOFvWBtV9quCvQLkGnBus1iZ0OfHHgDk9ml
30u5D7vuNanUeB0SVbMXpR4vzXKCxTUG+TbM8+luGjI+m0Eqa9PBxapQ3C8CkXEitv1Oz3ymhZoD
zMHsD0Hq7n13OijRlOFKoL/xk+lcZ2SYhjb5E7Z1MTV0emE3zc5b9DtdeJujH+OBqKXrUqcO60Kl
RmvTvpAN3y8y5Fqb0cF8LDXSuR0xMW9Mw1Mb4ZX2mbkmRdQj0ZkOeutf+KnuJdV06qGgrfQYDLxg
RrGI7PrKNeMXJ8++pI3PQMJ2aVMtxUR/b+4L3ZEruGBYBslEWajqcK91yeciUU5pHd0kgVIsUTFb
q7jWrEVtlG/pZL8HmQrtUTca6kqDXxmJ3BtSSDzoPBZ9F135blesdU3tvaGqEUX5ySEnYnsbj3Fw
jwLRiwb/CdwKrQu3rp2Sgpi1T+ydF2bYXpVfnaxt9gIM1F1pLoNQN0vvEc/j047wqQpFOaPbUz0y
Ni41qHOLokgOaU0lYvBMNZWeA0zT3kan2dqdf+GAw0TbLPfM0l2vShRG7vlDJuurMcfoY8kMG0EM
otmv91WjHfBhvCql8z6MtI8WE5S8Yr3WxG8Yt9ewTNtNY5erpuRfh0K5V2P1YgoOGSHrdWcjykoY
s8dfwobDt1cYZdf2rosg85gtwszGqvdTM9C5JXw8GZ16zOhnnPg+k39NWywAWQOFXmBhv4nigP+Y
A7zPtIuonomwasE8httuQ+X2TAW2i8ZiXVHp4De2kOFB1e7K6GhVDuPj4QFJ3GEsRxwufnxImFpt
9Kx9MQL3IbD9nDVCdaXa2WkuYjSdB56bB8CVNTiBDluBJLqrh4F2tFFJNCmrUxm5F9ghcMBb1XWn
sKu1WV/g6M42XTHSl4qZsj5kAANA/TRZFqB249bJJ8zZes1Ioq94aQ5x+CF1J86XCEigPlcP9c7W
w/0g43fIPtE6GJyj1OJNMW0aN/GEg1g797TxwlGS2zDtsesbBohYx9zEMdxdaVPI6NMX3UFtPQRf
HCu6wORUU3KoIR9W9bkoBJJWMcQmD+K+PnD73AaSsRr9271W2kzVEW039crZ6kG6FQU+rDbxfEcv
z7lVZ3Kp5pE1rCLEa8pD2BcFfF3ATvUev/aA6jca4B2si7RX5Fny6eSqGSme4eP8DSbE3p7jJntk
lvwVCVk/9JybySU8tYbkqthx6eWJMqwjo/AMaB2e3xePJOAzrnfQQ4CW0lapiO/0Or8ZYMWuceK+
V3H9AI0HwASFl+JHRCqb7i60jc9sWU5j5KLEtokgC6M2W1J3NUvwBuAeh15bKAxGeJyQbZSoPNgQ
71l8fvNnR23euRLmYnhR1YBC0tLwEJhe9W10BNV1MaM74UPEnzU46DhPLrRJUt0U5ReeLXIxW8+S
3CE+CpU6YNq3yQeGM8VIU2XvQLzpTpU1QSMPp81IK7Ggrhk8y89f6yHbsv9lB6Eibq7wDRlVei3I
as9bcrrMrBi2nLsXLtA2W5LPk5tNs+167uhYcEGzxt5qIBFtYFHVDaFZUxlvSkG162rJc1Kh/A2P
CXCrGAzEMOo7s2508ragmcBWZETZHjMzfi0l5JFAk8tBRldFoF6ZrlyneX9loKJlVKdMlVfXCoGk
avGQDMGuDaOn1m7vSrdAyEJAvVNvRsue0+eX1L2IhcVzVGpbt1E4GbNgR3rRtIu79Jk/8C6cW3ub
WnAVtiXQykx5NggIfsimHtpPFR9GNi9e08cFkMiJtBYp5iShx7JX8Zwn52HIPyelUyNzBGEl3acU
tWykhw/ZwAz0v4b+a0M/e2P+uaE/vNU/WTrPP/Otnbc/WQgPUWXZnFzEXXy3YVE/kXCiGSZ9uYWu
jk77zw2LCdN8DlokCZi0JAQJf9mADMjlTAFUGyUBmiJW1f/CCvQ18/kvgc3czZP5hMATjSK6B7Tb
P3bztlYGKqZUmC+NzUybWSjTVxh1Hk4bd2P3zufGD4Z1VZqkRMgpNpR91jgd5aMdifgpEpSZx9Av
umrHlrHM8PfHg7piNtvZp5L4uuFEJOtVqSfRLc8FxluhjiEgbqbm7JCm8ayn5nSWuUROCEJFWwVk
XIFrQ/QcecKYwnXLKgbz5QwC2hm+kjFq1Vo7bZ5AKMYc0yNzPB4xemc1EYbcfIy0fZYNU3ETTBKg
SFT5MRF0ZFtsXD1gJ23zLBv71vLqYog3SiKr1VD52qZPLG01jNW0UROrvp/6sNNAk0lrWulNB1pG
CncaV2nHQ+6ytH2FI9goFWrycrIuO9mEhVeKwrqJLAvbBlUhDz2W+hutDJP2hiBkFgqWUabHUVih
2FQ2/18GTfE4DQbyrJJha4wzKizsHQ24rq7+u0W/3qI6Upt/vkWhpv7fGiDOS9S8/GQbOv/wn/eq
EJ9YgdqOoZr2vPPkrvs2etMhXXMHQyud78fvt6H2J5Afc4TQXz/15+iNe9/VmeWppAv94XP/F/fq
3+QhXB4BIfqh+ZfOq9UfdqFmCkQ+9uvpOLUPleOTLNj+cYj/owbqbxIlfqvKyWLhSRRcYv4LvpNZ
TaXP7qrUtSP2X/xPOI9xspmI2bfffQCnP46X7zPgfnwlbEQ/XGfe+n53HQwPZVUTFHM0yx7BxcVg
v/76AuLHvfHfr/BBBBdoFfKJkFciRnvRG3e2+14AhHYVCpV+pQt12fRPZbftolNbYMeO3uJwHWC1
Kc5tfhMM5aLF2MUe8//ZO6/dSK42y77Kj74PIbwBpuciIyMtyaRnsW4CtOG9OxFPP+tQf0lVlGuh
e4AZQHcqscgkWZHnfGbvtV1cIpF5NaQ3E1hAgbH2z79T7cdx6m+/UybB3/8ujEQJEdvL34URhDS3
Tf0wsJQiiO00YVALwwyUy7vDzKPhPylf/0K998ES+fUG+PkboB+1GClj6Ads8uM3UMKY60fVmU/s
TzGCakhwzjJTN0hPrc2mlhCqcthjoz60EE+sYbrWclrIqaTjGFVlIWiL0Y5es8ai55cRkf3QbvPi
i14YB7YmFFK6kmp3wigAv2ReSgeCR7RM06C12309zCt9bMBAzbB55m28nEgyDwrM5VWjsOhbtq3w
Lgus9Eu6CYcvXZhjM7rtIvcclBIyHsrTkm+AhsyAA+KQmzZTNGdYK2oSq2z8qkvDMItKeNCGM0ct
AhkU1Xzp0mI1o9BuppIAS/MqTc9TUWxH9uV3hZWvavKwg8q77U17baI3TEcRwRqKzLWZNO5adQsz
qLL8sSeVqCiWduWRGChdTH9B1P+QHv76L8Qd/eMb3/z0dpkSD72O6JaTujV24X456x+MrbtvT0SE
nfU7os4Cd+35JA1DwD+welyLR2WfbfqturVhtqR/kRQn3zy/fj+/fWSpdr5/ZE3kOk4hH9kq24Oy
ILC3hYW/wS305+8N+ej/2et8OvCYl4NginkdYMD5rXhtpH/RN3V6gr94E2jyIf/8Ut+/CT4JTEHA
5q3hJfopNnwQCRDDhE8lNHVB6vnRiVnSn/9ov3cCavDXEKBRezF0/vFXSKCRcJzc0E9I0eiCn0fl
8s9f4PcOwO9f4NPvjpbUQTWr66duXA/E9k2K3xF/9997kU+nrCc8e0GUrZ+88bg0qFVuybH/85f4
vSvp+5/j0/E4c1e3+IX1k0z7E/m0Uu1rL73wENF8vND/tGz2PCFcsKve+/8lv/JLRcuXRHH/v3/8
Y/fzn6O3av3UP/3wB1rSpMfoiGbx+q1jpfStIpB/87/6wX+9fXyVW6yS//kfT6+YO5gn923y0utU
Mx8f27/+539oP3cwPBt/XB6dPWVvv/8531VFBuJuhLMuAlVVZgx8VxXR0YDXAZ4o5V586FsH47GQ
5DJxsKTgD/gAA32rityfbPDutBsOPiImMX+LSm98yuaQx+NHRQR8kp8Xd8WnRwQ1BbVyU1qnbMyj
oxIVTXgjRFaSbKQn2XYyTUI8HUQiDahlNvD53mzZgMjQ5B0+7GpfzDqs00n16P9zV92IYU4J0bZA
sTNfcy1AcVOatBA2yoPipda5swCUE7m6sQtkM3B9N97ivlnpCEN4ZpkZhuaC2DOOYMxMx7TMN4qL
i4WGabjux26vj8L+muMVXHVp7AUT86xcrXYL7OlJj64brRzWqj0v604H21YW7a5ftAuv897YbV4l
hnsiR3mPJ+OG9dhWqbovSuTWR5z8xyaG7hibyZ6Y+C9gHnxXiW8K3bqLElesOI3ILc6M+kbrokcm
uHvDrYNUDR8Zwz/JgolRDObVrB8ngI4J37PpkIEHdLxtGYU5lXdsDOjjWasjjs0vGkZP0gt93hTg
TeL+1KMtAr5oMXuvgMJMuDbC+lA4meMXVb+zPC5O3PmepqOVXUqEYsyuHGrOteHMhyVUvrhtfDVP
mGbjPt0PEZ7LxumWwMNtW7lyRaKF7JpBFehT85jRN2YV42jLaJdNNOdAFuv4pSuI9ZxrzVqX2rxF
h3cg+MbYFq5+UdZcIFOfk87VtgBxYjMw2vfBntWdndleEEYNMx7LXtPNv+PcZzTkeacmH5oVmdW4
cJ3m1m1d9rOkiKKdu8qBI3pjO67MsfLTvnZ8KypJe1Wj+etcLgc3Ml8dqzNkrraHZm55NNv6wI74
q1CXqwa69Nhqj1PN2qDt43f4n6zopgxNS5deFM68yzqM1a2pETs0TEyv4RIRkQ4+qI42qT68zDHz
VvhcG2fMXmaa/YrZslRSJXb3POLdOROWhda2kLLbHuYcWA0pxuXnZ1/6odANrQS17ojsnPi1D+JD
wWmwxm8GB6KRSIhM/sYXFMKrJAT6xhG08T4wEqEkSrDbj3czkImFN8PVLLkTmeIigzFhUYhJPxhG
aviMl1eG5FUsklyRRvCtMDFWgcHTtqKKBHGRaTMqYsm9ACsPAaOBK+FKKoYj+RiM+XtyGtiEquO4
mdgFuGp0Yn0DFRu8hjE0Jbmh3hVC+mjd5elFY9dYn7SHSbI5Wk3JHksNeKPeIJHBGb3WJMvD7Xkg
W9vImKiSKmei3BOS/WFovGddyQMpdE/B7wYjRJuIS2btCF8SfogDSCQDKJJJssggGSNDjjpTT7rn
FvyIxiZ8NQIkgfljkGThHhSX0EhNUkuqD34JyQ1fdSYtK3QIUzBIzgm1JcWxZJ8kRVtviF9mkd4v
pL5q+pe0KMKN1/F3J8lPKRconVlGbnBVSM6KkqpMMZpqpUn2ShLapB6b4bHx4m0+TRcJ7yh/gm2b
eu1VPPFTqwr5OFF1BOKyTQogUZXHlDRd2nPD8IitjNlsGe7AvxBBXmwwNgg45k1RkhFoJaSqy9Uo
6+SjGw0US7W6TazskSH6dlC6myUbRwiJqPFioJillp13Q4sjYShinwXUNqzrnT10GH7DeG1xeaxR
1/GGBWSvn7uiuMUvnZ958XhZ8htdVSY6r6JCrRoh3rTS/mG2S+Cv9XEI3TdR6RrxAMWhzyYRRJrY
0uXe/F8pEbZv1cVT8db9WBL8v1whmFQNf1whMEDpn/7lt8Py2zpBfuYvdYImr3xqAcb89ifgkQ7w
z8H7aKBrYn7CZ32rExxGLvZHZiGERxlG+euk08auo1pcYxoiBQw2f0tLTj34Q43PV/rw1liSTi1t
04b8+HdTBy9UIBOj/zwxIoTQNtuA8fRcX+eifEhaw0XB0iKvIYrSzzMHCo7V7xtLex8rleUHI8XD
lKPPKGJW6r067CIgBXC5LBZY7OWqkuDkIcqD1EmfpxCbhDYSfDKW0OzyfiwDB8UjWOPZu4yb4s5q
YYMgNkCgly1nhPLdRRE3ppo8hKlxW1DxnRyNsIeKHRKrVCcCCqYRK5HHD6EZkY/OMedmsNPFoL+R
mjNsIl2ZbsvG21F8HdNazBtVlMALBPXEdBIVnuBcaS5GYl0is9laagf71hJnhdPexKxIVu1cnXcW
cp6oN7aZ6sV+GHUvc4Jct4qikSyPufWNBIlo0tyYbD5iASDQM1s4iW2yH3Pnq6bFjk+ACOF4Dbu5
RTJSEGoMothBqdDWgsTodd4S12kt1yGblB3qfn41QzIe82TJVoUVXXh1ciDypVmneR4svfKapjnY
nqZxQOEk22mZEr8J8eQoI7EhGjt/GbKxGXL30ohKgIq95ufszVZ9b1yntXNdda848t+xmQTDzK8s
aeTqS+ue4gFodIcBnGqvBzrBwtGQ57Jh66R7kKc85yaO7bnbuZV3zXykumwK7bwRqQjURquDxEJ0
jYdC3y66fmuSOk84C5omxbqry9k7NGO6yxwi5+0mvFA7pl1umG3CJD92VX85hdW6z1XO5nJTCRT7
LDgfPLMzt6XQwTt0TJy8HPB/4gADmb/oVbExS7IMprneF8Z4PXbIcLVleuOVRSCM/I3qRDuVFVvH
RpsvU+EaqzCLz71BCc+4iZ4RD3HDQ9vaA5a0v8ZK4QSNM3hWMMOfCNQFoyiL85bV6UU0Ks6hjqru
SnRAg0kHj3ou8JqpjGW7r27tTofRMlZu6BBDInY9YOnZAoxlhO2jB1baN+dyZ2Y1L0FIeg0Ep51I
HxosfsVuFG6VIl7ujLpifa3Pk49S/MZt7GOvzW953GRrLbOugUFFRxtdyVKMFzr7QM1L0afaKKzw
ob+mS+3t+8p5pZ0G0uUu3doaPeguWnfVk0LEG/E8zODmYFGoD5UDK4Ok81WTmQFYJTKBIndYaUC+
1xVoI0YZ0bxJtfA9r1GBtTMBH0WvntgEVL49UDiGS35s9FINFtVudtGwrHGnrFmZH6ZU79as6h9T
xCJIKfr+LCbr59xguPemqmF2W6HR2uWjOytSsAEN7Z/b6ef+lZnAH99OZ09d9/Z7Ozg+69vNhMsJ
RJSKwcnQKQR/MH6SWiD/97fJ/q83E7lqNLxSisvlQwiNR3P7rYP1fsIlbPMVaWOxHOju39nBYRT9
fDNZjDjIOqdfNpm6e5862HHwhFJX9nSaJ6NzgngMU4KDHLboAHRi1vvhsV/gOwYzkKsMLY6Go5HV
YdLv64UodDHaS3bWkU+zBKnQ+wX7TV1WGEhKMIMvwp4c7DJ1Gy5BH7UU4JFod8LWIu/dUwutv5m7
jkCxPnHMcB3Oy+Kt8xq+GfQqRa65GhvwHT6jbOKsXRhNI7EfIqEFMATbJTAdDUOnFESs+yHTtoOa
Ybpox8i07nINW9EGK8GeVSHlcInsclcrI4goYx7S98lwxSaC1KQGUZSScIK1S93FiK0OSujmzwle
0LUHP16BqDSPgZK39mrkTYwkDuC+WihYIa3Weh4tzphlKYxtr85KTOsQmVtrjt/tSSFRoXTf6cPN
VV9EReCAMt3CRcfBOTKrBp8/HeMIvY0rS/4oKeAE9rgz81Ypn4m8yOgh+gzpq46+pFUR7wyWFq20
OVF3bmvSJYes2jU3R/a5VNGhbpX80pxzmINC87ZuXb5lzmJtgcuRaR+P5pbjH5BRh7UsixyUwNaQ
X2YqYWCNh2K0HvVV0TQTpEIsR5FrvMUIBHZWm/FYjDk1CDd40FaRwzhMea4zTHD2kg8M7yt3G7ft
uzMRV1/rNPBOwVhiPbWYKPJed7YVRNgDhrt0rStxCqOWnUNU2dUhg52bDCkKMfIFoHxN85XnhdZ2
8qoi6KTDCtE1IrLWhPE2hGgvlpZv0zW+5GWmU5Sn0aptYRyHE0dxBet+BYECUExlpFs03c0V+WP4
fqOpv3IS+uVl1ho0QkCC99wv+WZRPRF0cPWk5qQOhOYMSIW4lUJRZjstR8TBKvffC5j/6bnf/39F
vUxz/+Nj8zJ/enlrf1vQy8/6dmzqHzBSjOg2RH05xPtu8Af2G486x6PNucVi9NeCXrK9bUOGw0Bx
+ajafzk2YXtTD+Oihx9js0r9e4O/j2Px16G9HPw51NeujlRCl2FCn4b2jNpo1k1nOvVizIj6yh6q
kYAQ6TYiOuxUaE36gpqrZPdj3Bo9Qs7RUMIb15neUSxvsDmYq0U6mSJc4qr0NhUOBXzShs+t9D2J
nCJzHMpr08sjRNBVuJ3G8NyVfqm4dp4HI7mxx+Uhlo4qXXqr9Nr0RRUXFH01Onj8V4V0YhlYspZc
v+G1GD1pSLsm6mBd+rdSd0j9EP0Adus7U3q8YFq+pp17TlbDlWqKU8x8qUKnsQL7d6XHqroxsWuu
UqxjQif5TXK1VoADJpT7ILAj6YpqfKMZ0r0q/WcT+iJNOtKYyHXIc3GpDXNtBEYWbm3pYKukly2s
zdvWg7WKsmMwjGBA27dqpO8tKeY9DHPT76UnLsIcZ3mvRRXSPOF3wjfnjP2XQcXTUKd43xnejKth
ZklnjwPHsJjfUEPtR83hFsCY66nxfaQViNldxc9d/LomE4II316qO4BRnQs5qo2q9r7C3zcM89Gp
MlQaC5s8B1uuth/C7EqXxkCmdNcuv6GQ9milVO1myvOLFi+hjacwEwsXI7k/K/IqGDjiPCxwIKY4
EfUaSyItmbmpBw0uE35FjcgzJcfAaC/qfUIaIldnelzwONZ4HWs8j1GbeWjU8zcMr18FrsjaGM4E
Lsneszecwl8G3JM50+GVJQ2Vbc3hvEiTpd417w6uS1XaLxHVnPPPdDbhy2wgHITmO0pVkvn4cSbM
m7V0ceqmpEiDikzdimAecipTpHxtWX01ACMY0gtazuLJHBDl8ZBj2ZADR7xoZ9qYv4Y8kV5roNPX
YUhiMmW2uavs/hVxN8ra2Li1sKNGSYKZN2wuNXXqoVuOYs3kDKmqMqdrRTpaZ0bDK2bi92nPL2kp
uWgt+sSVWejX+JIDry7Qn0uTLPw/WNVg9C70AQNxB0N7b/CeeyzA+lXSahtHGYVDb95V0oY7T623
DzPSBiunE1tzZM+tDpPpD41GSLa8ahJcvVY69d4ZKv2+vArjMJ2DvkDLfDci8M5W1oiOF+BkmJk3
RGXS0SmRcZ+YqfQJDjd4ysmVJJFSlKa19qZxnbtpyhDP28711FG2u+6axXt+SABQBAUgxQB3wGM1
WilkON5uecwjXU69vYoFPhScUL6SYKpwPXHj1gKPUhyfRLy8wgGmpYzcdZI0GxVC/5AV0OWwDQWl
7cZr0KPIep0LYVJ+1Am0QvchscoNQZIh09Z4Q6+wT+jUIM4yjKgu82TYIBHu/UXpjlXd1ZQp/cGM
y+giz8RdZiIxmg1tS61w0aXtpWiGOy/zcKGbpR+F0zPZrvdVRUSjyhhDh1CZ5gbKgmZZ0MAm9xaN
+6paGMO5hkYO1Ihqc4LlmMX5mTph3gIM6IuEDrrprcdawV+jN1CEjOx9Xpq7OnXu6yY5z1vzGTEl
Q4vCQf7oHewBh6zZxIxOm4lNQh8pMhroGXPjtauXZ/zjIbhMlwmnpnNXjEx9lxydgTW5cdC40dpe
FJPRgEdwN+1/1fNmmnnrOQs/Z6xDzGCgyBDzOh04BXTtQHbKMRz6M5jVcBwBSK5QJsSrcCzoUxN8
yYPjkn5UIJYNs/5NQeeGL7dJN/3gYQKv1Ysy9JRgzAcMXKUGKiB8UubiLM6WO2VmGkBniAGiSW/m
WrAQnqZd3eHIQkuZrZ2oeZmI8FopmGH8qijvSHo9xnX9kixO70O6LW5F2e6UUicxDBNFWPOvkTs0
yUNGCFXocmxMe6eoqbntgXwAboe6f/H0yaTuyXnWumKYrFWuRkoLPFObSfDKozIwZZRFF/ad91Uv
ut75eb3/T0Uk6RF/XBGdP72+tU+/rYjkZ32riGgkKV6YH5KyTdyQbOR+WYWqP1mmZXL3qgb1jeQx
/jriBPTqwfRhdwli4ftG0v6J0CI0nnyCoTH8/1sVEeXA50bSBS1FcjYhSORSup+hkArPSKf3WgQy
udg40sDQdxbiCTwNaGUeajwOtei99YLrwZH2h7KIzvNq2Kn4IkxpkJg8yFTG1PkU8EdR4QpZvJR8
6JGGE39FKY0WvbRcUAXdg3uARpN4XkCkwos21AxG3eGiH1AGaeOjjYNDw8lhSUsHW/SvtkfmyThF
960+qLsS/0dUTKHvhKSm8W1XmwGXSCXtIpGmP+K5I4tNWkmQtNPCKDaM3j58JzrrDdUoIm4WmIFb
pQTs4UqpsvgKi87TgltFkfwjTxpYwKvSDeNpsaS5ZUBEjscKNkfnVM8EPLzEOGEK4g4pyfgRB2mT
6WrtklqA8SOxc/hoUmmoSVuC4zo8NoRCXKqlwZGf5L0/SSNOLi05CDtHjFHTC46Qzs+1IVllsUtX
E1uc6mp6S/l2iTEDQ4baE0Zn5M4Z6dY3HV6gotCuunJqN2mOv07BLxTjG4p7cawrrHXOFBOEjrco
0mqJA2cpY0vjUTVYOASSDvFPrC53mFEhAlXWgKHdSdmDYl9C9ptuMKa/0nHPh2iMIf2XKssxaXwy
Jlch1cM4s6UnynRrTqYwvJqlYSpuem8DAB0TVc5pGkljVSktVpWtbCuZi5w4mwoP1oz6ddtF3C95
HRcb2lkk/3i2IPsgCcZRhY0rRBjWEAYtLV55VLz0XoynTE7scmkEy6UlTOANy/GI2RFoziSrcRBE
GMhwzW5SaSlTmQEmodYHEkV60PGdZaETrx126WsyfHggB8dixopRrdXnwmc29zK0qoFJhVzEQRrb
UmwI/iDNbom0vSFdOWfbyrhW2G9tDWCg9bQLbvzSN3oeZctMxToaE2xY0QxDXrFvSlx2o7TbJRRh
K9j4+a7vBPzraCJ4EHteiE8PpC7FXBHK3r5kiSrtfA2+vlAa/BozN3fgoR69VH+Gb791pBlQF925
UqAjixSXghjH4BI3z/A9SFObHJjdZefZVyzOe/OgLYYmDYcW3l7RzsXKmPBNxg+CPIYNsPbKz4dB
RfEgNjNNz6UzFY9TCfGdgAamNB1tSmPN91COsVITURkIKkF34karKpL/sqyCxTRA482NoEtgQoct
2gcNWPOxbejnG5eOBpPF7VKFJ7y3Z4Ng4DpU5XvSNze6Ee9L3T2OLu7VnhJ6ibd6VhxiJT5XU5b5
1cycwMwHxhytea1W9oijtRk3jYAfaWARdmJMf06kB3bGN+5Fu24yj8xc3u3e2XTEIXA0IbwLi/mA
pPNJB9PPsBvDZiP6iVZvtA8J97wrIoERPHX6/qGMmrHaiLg2Fx8zXXVjTEN3XwkxPYpQx/Zhq93Y
7ozEtb5GWWUd+q7Oo0sgJZG77xvF/BpGth6ep7Cat4WXkb7phQ9abNqBJXQejZC2MeR52ZkVppQp
ZVs68dwFFmXDiqfwcTCH3ZIxV0K8sIvtJWSaTl08MYVf0VdeuctC/M1AyVcsC5VscZnbUXY3aJxw
RZ1wPGXkJQxR+h61zlVroxZRJigtSO53+ZzlOJKda8PrX4t5vG8sXDK8i7duiIzdowtr1OXSM5Pj
kM2WT93zpAnO8arEM46RXpu03O/7sNs1ObE/ZRee5kzV/ZnUn5VCWO+qZACX7UvplOqM8okWO0ZE
i4vKwU6VZOmzjr2qSsWzwG5VNiBMFgxYoYkTK5KeLAdzlirOyrFaF9nORYFQLttkSLbK6J4i6esa
MXjZGL0IOd6H0vnlYAHTUCGsNOkKy6U/zCkm2DU4xmLpHWuli6yUfjL8uKQy6gkif4wAM6YzY1Q1
v5gYJekY0pKUbNa8dc5CrGqV9Kw10r1GA3rbxPqFKX1tVoSbs21xumF5y+zqssICp2A+8ivVfkjd
8SWVLjkSCo6T9M2Nood5vjxYGOoo6k+zdNjpWO1q6bkb0nqTeJLE7uIsxpWHdS/ybYVVx4CkqDQS
w6dLhL0B4ttybhwvM1jam2/26NHGStef4fbHVPoA0c7Y/EWxabEImtIrOCSQuBPsg57tcD4j2slG
3NZKcgPQj1QAgOoM2jJwcSM+xEw25CoTjlZaFB28ioUWvaWet7OQzFYKHw1xNfYj/iZcjoUeb/9Z
THwsJkg4/rN68q19eUO3/lmOJz/rWz0pJ2y4f+gdf9mL/1JPaj/pMNlM2h1kcjQv39eTFIs6hSSe
Ag+Q5XfmIOpJUzUcD0mWycYDt9E3eeHlz5MzlIl/aAegCP1tPemAvYQ5Ig1C5mcKvKHok9Y3WXbS
VLNvD+AL4PQkY2Eq3BGZM8GBlgbIoUmbK83J1oNewHIsdmK/V8N0W8pCYiITBSclMSOAzvBWkjrd
HlUBZPBLKM8Wu2d4AdhG96FbcvCwXbdYBOxq3cr9hOMJesRJKPnIDEd/CiGr+gzCjzVHWmkTYOtw
yOHx3oLpWjaDK+4pAF9htV2TmskXMJZ6FwlrA+uq2pmdd0X6OCv9Vg+IegPDJE/YmnwzYpCLS8U0
YBOoc+/j3Ty5HMxTkUorMGd1JE9t0bq70WaPUWTTLrT1R1Oe8FM1D8EoT/2qasaAuWi6q40iD7zW
cfGjhxziTfxlyJoe1z2ghihDy7/UqrYxYjbWg2IwXZnsPt7F2K0YvNXQl1Y6+iJkhkq+i2OVDFVE
6NtO0/Ijasfo2ukd8WCPqJQrh4T2TiTWKaHR8CMt0S7mmSQgYeqXwCphsnTYOe3G6bdtknabuCoY
NI4FL62n7kPoNf2u1A3Ozpi5/DxqJPiILOwOqdYyexl64+jWLSvXggy1iO+hbJKD6Si2tvcyoo42
OpiNcXYy7VlrDHM9DMrKadDTx2COUOfQFmSogNBercxo2ahWcWWiQSI0F68p5NDsjR7koemys0ql
OAUVsM25e3wscOetp5x3is6DVCRrq86vRQzNTm8fdSU7S6ekWjV6cWuAfQhAJryYHPF65FyUheA2
jXsno2KfEz1Aw2igp7PidDln3Veu1GwKsjrlpGUARcxSvB8K3NgipOQR6FuCYoleFjHhwVArOGue
hHohyVpZXslqu7Ve4NO0K8bdGX7fvlsbsQgGjfC9AjGH6MV67kuL4JYxJQgRPRmq0IvenuAAqBbX
d1Qw9XIjyi/+JoK9VUz2hwPOy8d3S89mgXN1F3PcznEyrlWhXjgWzrqMmSyrsAxmFKGGNmm0PrFA
epDkncI6TP9qC42mbK5uJkeQqjFPKAnKzmHnzZVHhcME1mSS6ThvRRi9MqHMfd5dPsS2fpVC2h6s
EtHmSDqTOji4VOciqDTpZ6smb+Py6KuaGa1Lte0RulogrSgRKmY6Scqg9lB2fXX7z/3xcX/Ig/vP
5hFt8nt77e8XNMiqTEdSg2E/sdjmQ79cHwaTCkjCNuB0Tcd3+uv1AV+KVF3sXaDo/63n/rbXdn6S
plN2N4ZlQyBmo/LpuvjT60PaXr9zVcgFDVIw8l/ZbfNd8AX5+HeKK+Ln2C0p6nIyivi+MeiXc7Iy
sVPjy9GWYoPagySXam/Nij8K776oqOXVQVAlevZt6gK6q/p9gVOoGV28NY4DHyhI4qm+yytPCypd
vYqUEqg+hTRAkzxVnnVEgKyZoRbER4dJoPCtUoVtgSJo1/X0TMWQDlcqAk/c7PbNlNmL74LoAR3K
crI01nWMDqkR1e08K/eVVd4ZtNQrVed0V1v6U2WGMugeOKA5LruXdjGQcPGWiUBE1ql+SVl5r48d
K6Keyizss/OxRlI2hOX73AJSi8GOhiYCVb0tDGYj4oQe56nJaTat0SDYuIpfm6lY0JiFlKPCDSKV
sB0mAdomc2yH0EjFnPeTqBQfKexRG5yTAY2TvOjjwjsWO6+DlDcGI0jyajvWD7HqPSqmA8UgN64y
lkC9VdxnyYLqNV3u+nbictTqCy3kPq+rd13V1mObXHuDnGgApKyjYq8V833WDUelGt/VlpGGqswk
XxrGgJqXsayiZP3KyLNd0ym1b8S2D0cAvYyuDuBTYveks75n2dtk/tjD9wRB6veS8VyljFALVvaB
m2WLXwoYgLbqvMRzdCiJktr2YUogJzlqpatT8Rq7YWhPYd7SpQPvOI+btoGibttDseUglJuBvNgb
ZFt1nXXONUaDXHErxuW4MYkkyiBXZbkA9ERkaFqKp8jGw8TX9CsCApEBTdCD0OHGhvKktlHqtyOi
Py2Dnoj+nvLEPcf3QIigCu4Jj6ENudVgeFtKFR0nvN4X6Gn1CIu+A4l1aYddPIoFwEdu0sY4a5dp
z7ZUYDIQsGRfDIlLUW7ulaa7p1DcqYN+P41I2KK4U9d9p2sXyIjTM/QcjAc8LMqxxXUfjrCqSsFa
zjCVcDuTfHNRC0O/SnQ538jGrYfaCDPCocjImxWN/kS0i4Vye05O5CyA4rLMzewWm6Enjw0pQ84c
vnyeCWnTx+RLFUHy9vosiACssj+Y8xPe1FWCQe67Q+3fRef3XtAfVZk/m8nw5dkaBnjpeZcl6Hdn
RG2wu80VTzvlBZuNV4KopmL/t1+C8Ah20uw7NRWz/Y8vMdeR6NLENk9Z9zxkl3N9W3o/e/T+mZnr
nOl/ckdVJKH+TovDJ31rcT60Vy5ZSLJ9AIPAh365oxARACU0ABry6OnfQffRXvEvZnoUeFIT7PDQ
/PuK+lBlcelxfxHFqUs30t+4oqRB6ccbypTNDXRETedr6e6nR6OpGjrqOI0vWZdb7q75UDhZzklD
OkNJFn3In+CYSS3UUKNQYQYsRVLISPt2436Ip6YPIdUEVQi5kBE+1VmRqgHwjVw58kN34UEjkRKy
Acj66NLMyqRgImPG0vs8APwXKI2XHMpZ54VSsENCMvPz2WY+R+XtkYKIEBFZLuz3Jt45jK5QFKcW
WDzhtNauiVoPFGjR0ac0U96eQJpiVhmMeXKCyGXCtspcm/lpPyhvFu/pf9r7n31zUor+x4++xAqc
DUn3r9MzQ7bfAwv8uDcyaUw119NV10M488ObAPa6aqg8zygRVd4f3/ZGFhAQPsflA9hMLIkO+Vao
mT+5vD9c9SNzBV3j3xIg8nV+fBNInojlYuTj64EU+aSjaVl4dZzO0Yl5J/p3IkX/Kn7t82ZK6vtd
qlHKSlx6DlB3fjnfH/MF8GSvzmdxEWXOvowHbyN09PYbpxDnwkChyGoeVMYiId62AhBupfWudaMz
WyPOHY3FudM6Xrcvo7A5H1rG5H7xAeKQBaYIzA9Ah0rbvASQ34KqntR6l5H/GgDXVLdCYj0QzOmY
7Wxti0OuCTqJ/zDsWoVraV+mEgvCW5clkESFJEpEUxW1VaqwJJM0kbJd4vci7UcQZgledN/tVCXw
8tnUU9/L+VOg1eyag9gsVOMGTQR7groRzVUv+C4SskYXfFsrRcRfjFo7xiJu2ecqzSrzsr0xNtsR
Gtw02NrK6ZWLIR7vrcy4bbzupsUiEJXjvW0VEIFtDD5ZYsJgQsRsNmcxSTIagT97rR2I7xD2kXku
xiXSmXFGQTgTZGcisViq+cAW67GGV+rnuWOvZI5Gm9jpjo6WMb76HNvZzAoboY2JhZF6UXsjpJ70
SFZ8c2Wnqx6PNPYBo9j0QlhbjrvlyLj3OIbKVjDa7ZUk2ha51a4ZvECPq4NmSs6LScINgFYD1Ky3
y9Lu2Slcx1aTb9PSAj6tZPuWdQK+fm1fdqIN2ri4qdr+GBvUY8qs2i/zmHX+3EYT5Dl7I5jPrzBE
BKYJl1RxSzIDw72om/PJLAHJkuDJAJTZi+uOrMxS68YyZwD4gjl8V5bWisW/vi5CcMpMe84be1T8
yGv3YybmbZWrb6Y9vGo4NrZtbhdHwyMcaBVnVnJVg6yDNyaJchq1JR5X5eBlqbbtXPUlU+L9YisX
vebc9bGyzWO2QO7cIj/ABWFoZ0vhXo1luWH7s07bMOg0BYTrlO2mXAea2+vkHPOLt0pn16njg7Zg
66qtSGpzvi72eF79H/bOZDluJIuy/9J7yDADvuhNADEzGJynDYwUSczzjK/v48ySSqnKbLPc56rM
SimRogJwf/fde67KZTRupgM0kKuFP3TQilMuQfYmvttKedVb7UNRpn1pLhdGoOyE80BrSekuB0Qi
d2NRcd041n29aCuupW9Dz923Q2oGLXZh6fNVGCSaZ+hIzkEKMCrUSYbawm9G7QIcdeiN5plDiB7m
yIsWUm3WUm+cSLlzp/beZPcxhYTnrYhzbpBSQTzP9AHER5ine2ZRQjWD9lAp0Z3r5vd4nvEVjRsn
rD51ZzrUQjlMhCJJxdqHOhHbzM56WPBIK6UG/Kc3uxtzTA78/Y5Wor4YWK6wKQEpAa8VbXSyG2Tz
pnQ3KbkOIphymdYt4waZaQ7u8y5Ib6bAodJ5osAAex0JkriL/FpJaRyVWVmKs1iO6ZirRx6Li6Gy
4sveXFDhsmZgGOsrWz5hKPaoTqJjCKgD921hGQsN1n5QWt1eD619GVALuw4yxqfOFC0fZpKNw9xn
x9klLBnq1k2n0myHS6ZmwcgGQ9OS41CCwavScUXSErNf1YabVJhPtn2b8C/v1z32EGdqi4NrZPYp
wEa8nhbijSwr3kz60Dj954hHTvBvZN3R4JPyc5zRGufwgsKdharg4Drtyjf2dV4SJL6b6DWUU/VW
6piGUb20fbpeymQ3JN0neYkzZKZkEwYsG4wxeya8vIls56WcoXK4LRUOWp1j9pVBm7ZwV4kzX7QB
AOI5Zl6gQ6fW33MamrdVbTFoDc/0Pmwts2M3FPcvbYf7ruGfOR1B/juPWtE+WH3xaGklTQxTcjtl
80Uhxl1X47RWxuQxjOZ9PPKITtNpCPJtmINmoUThpuuWs9Xaz1NkXZYMRK45PI5L46EsHGJnGTaD
SaXApMp6D4ElK31ZavKEIrG3KKrkUzNyWp0b78N2itaRQa9hYtm37Fn5CWaIaWHh3NVDfOhop/Bo
dX3mJDjWAWOjEhdXMdvGXZmEjxaFvSz3m50l53pz9pV+OhkFf3tAyResp3dNGh7YVD6LaiBJUnqV
m4Kld3dpjuOnDXDz6emr4iq+BZG5zxDVKE9/Vbv0wM/ajxe6dEAR0RoxX7eVyrdpItGqyq6x7JdA
rfbDnEmfwC3ygo9ktGxIDpdw+qMrjKSfgYqZaF6KF7DQiMtLfELz2NZBfQc0eWEyLHdDCB2acuf5
QtMwQOj6Rd/ELza5crVhbtb1stsUuaoRxjTHK2jjBGQbcgmp2zwVahRuFNU9qxC8sE/W9bHVnNDr
oinfoAN9jzMl92mnVJ7GyubzAuB0jXsgWBkg+t8n0ge+jlAEzX7WT1ge/mGBJVcQYVJdaXML4daM
R/nPVxDSRFqeF4FymST3dvqQijfT+mfD7P98CXnT+mWYnfkU22nPl1Br6l+cc1+d6bL85Zr5FwPz
n3cy8iYl/xrEUrgbMjYZv/01dGzD+Sji8Kwio7gONKiLabpTFP///2UQCH+5FP7xZchJkpch7WYS
d/nzXyUsk9lw0iE89zkBECCmrc5zWN/35pWkRNptw9Lmj9Lhf6douVj7+1Hi8rX6C9+Z/D0/hmjA
ZKoNKJCeRdk3J1eIP4do/RuVrGRoGQX+owH/mB/cbwzdiMDUAgAgs2Xq9sf84H7Dhy/4FUOuH6V/
/x9M0aA+/vRh+XLioxmZch3JA/Y/0dqmbnPTGvTlXEnPu6Z3dJkJ9g2VNd9rSb0N5GYGJ68fVP2b
2gcvsQ1LSZ3MY2sFmWTv3ouh9lVrPlkLTdlWh5UlAE6uhjBrceDMgXulZiH1IIzM3CnVbTqJ02hY
F2Vebt1Q7ECxnyFVmdyPlxR2D9AOli23tlX2G4TYD8UuiPcIKn8HMzw5Nix8heDMyq3JPurSPqJQ
dG/Ee9UaHa/S3QeoFFetnp0t1p6YOIqBNvUhwxwwb4OJff1siessCaGFpQBHyRjOVkKnUVaqyAPm
x1iGyWlZ+op4NV9ntobtojQhtS2hx+ZslyspvUqT1vhBNkZrbtZq5wHlP/Qq+V69GikP0R3hp1Ht
xZm1EXX2FnL96Ga+9WqgHQmGWuqVZrKdiH9uHDWS3IhdUxTcwjqBV56GDzPT9vpcHg0VvLuGDy4g
l+q50rIapDjQ0rL0xGjf1lpsIwc2nafg0kBobMyzm9n7YsRLRCWVvbJaK9uzKL600UKNouAo7IIX
MFx3iUK1fawYO3MOPki4YZCl8Z36MBysmLjpncX4BJZ3V0YBoChmrLvZFS3wB2ufF3i7zLC6Ya+5
m3A3ehEweq4xbe2VcRtQxDmoK00l+VQlYhMXuGqWKJ6hUpDmssL0e6MVUDlqjT2Ysug3otZcBJUU
mRTfBY7IyFdY8m6GL74LgPn8lGLr2NsS/4I8Mnqj4qb7CjbMJJMHA6GXla07ybYraRPbNW1YkhnB
KnfQ7Ogd9DXECO7Gh6WKYhp1mn1Th3etikCkdvrOVKghIw+ybqPeWg8MJu5QlHCuG5mV+CxxBFMx
MLIAH56qdnYIjFErodcYJGHseENQPQ1MEmuQJxd9QTobqLbXuMn10rm4GUsIHqN1KmS9U6A8dKOm
euYosxMsGO3QPDvsZ3tX21gxe+vWTMsVG9pt4ugXmc0soYoOtGxwHtT0XkwMSbkV7EO9trYDJhov
0ep43SRlu4mj4lWo6SnCwz1lYbRWhTgVmdh1FpiT0VHe4yC+x4BVe6ESRthv1Hcjrh6G1PUZndGs
wI6+Do21VjTlmZxOtBo7iG3UPnpE79NrOzVfyIfJO8K7s7TH2aouF808kgThMlRaJNZL/VQ0OWgc
iiUqxz4a+PCbhm2Aokc3VB1R6xbPL7pzlyprc3aPVQyUZACoRb9HA5NEuYsHR8Nsnl27pH49vWxw
s2Mft/vAK5TlKrICcr1G5xsjJsw4WSuKvVtari8sHWrWPa3wmpTbfyROTGB7ACtnxDuvh0rd6GN7
HByQKmm+vAh76DZd3niUGNYW6kWmJFx9hvqiH5c9ifY33UJoCDRKPDi9MUIkt11mvYkmqmGNEV0s
auchVPAeannAQ1wCuDKiDt8A70JIOZSZtQW+xsuvg+bfE9fgsPv7E/f29XsDoqPo/kq343f+PHc1
tqj0N/3EWP1y7mqcriw2HeKQX4Cr/+p2xNwM20SdNvgfnSXor+euSqiY3aDlcgc1kRj/wbmrS93w
l0va17mL35vvjhiyqeu/dwobyVAQwJjAO8Ct8sw+rjbsPZN1BTYqd6ZugzkD/iKFJMPzmOTHioFg
a6uuQ0wjjr0A+qxPQY52E4b2mrc4E8hcOOzfYuWodsurFejLpei7j9Gu27WTpLIeNLhl8LZPxUC+
daaOcVNNQ33JgmedhNFDhxFjBD+H/8095J1+MBvtE1XlYYyIipkpKKXGdzR9JyjOYQhDC49zksNJ
xpy3MM37k2q2iDHYFokmfiSOeT/ayks6KB/jwNMifeveNM64Esv8vc5ZGacqkos6AFBoCvjdKUfn
IOy3OTIlacKWOIiBaFsPiKGfy4coL691O1zbJThvZzZ7r+4Z5lH9+vAUxnu7Mm7q1j5RsvuxkFKa
iytbq+AaNOllQdprmZLHHD9ioAffo8K6Gywsf2ryOYdm5ceZfu02yB5uT6Z5CFtekp1OjqWraJGJ
MizsGTZgQY1lYzPxh53ld85o7njr0+mWRQ1RxJ7sGAoOsAIKIdsgEWuls1sfrQtN02xXuWJsMdkk
N5YGwGRi5031CukuLcZJb5WKcWpqElfkmgFSUDtx4OYBBmNiPFRKdcsLZ8+yJvYbA46Tyepj1wdi
Th+Kr8Y1vaV8LWllD1v21cmWDYs3GfaI6zEe1wXNbS0NbhNNblHHaptEGiGU7iuQ0lhL/J5npaP4
QuO4iE0t2DCda2cHIdJrsaMigMzFpjLH8pQvenzP2frQ0J65M2zxkrJhpGoWR+VoopEpVQ/Ianbv
REE5ZG7RIBv024zRcddo2r3SB5rfU1WynoKl2A4jvqjchLjitHpxbmWtAyaWlUHx7xTN5R2fAO52
rMI9yoqmq2JmGe72Y3WHQfitJU5wdOA50Y4XfVRaNFFgAI4qxhWu4AXjNsquJlcoNnBgnO6aPmh2
emNnt7VdZ+ehdIq7VJ87v6JjkntEdVe6nd91NkE7yeoNY4vQPWY3BsTES4yeY6acz4TcAk8xGqD7
aSnWVqyPx87WOOABOB26GZZ7UHl1ND64s8lqvVBneCz400MYLCt9MpW9oojxBULXCEqyDvzY7Yrt
VJXp9xRlf5f1I+yy2iXhHU27gYvEuunEAr6Jm8AKA0lzPRpacBGFBrvtYb5ssSNi+4eX65RUD9Hr
1Wwm1Z38jlqDk+IuoKa0VF2l1rSs/z2Pvrw+OvPz359Hlx/D6/tfzYD8rp9nkUxj4/tkic1ILlc+
/50B8YqyC6KTlxPFBEzx37MIDCNZJFac7Dclu/GXGZAsk8p6SSaToF7r1j85igxD6gG/hbFRCRAl
kCb4guZvekHA2WNYQTyfkcSMmQCcHszjaurE/bTo40qdERsFIUB3yW74IL/NVaZ4joIOPUYQDXCy
q+w9xKFNxZmIVYkpzX6D8XDKevFAovmeHqXPnpbuWuYRY+E8Z1VeUcxh0+pJaFHV84tSphgHmWdM
F+NyVOuIbI5qrmrkHhv/5sYoQaJpBCJ1pksKLaynNOPaNS9vwCYKJiKxG+v+npD0VUO4MnbBwqvC
vc2JXZblFF4GBDF5qdIrQjRTc5Pem/CV5IQ2DXCNCSHO2u33PaFOVPOAOoliU0TKI9UrnmDGtHRx
mREHXWTtV+HQ7IA1j6woodGE8GjtQoYziJNqpvZeivjcpvTrgFuabxe0s3igj1SrWm+piZ9aiUH5
CrEj9EklWQvFes6XlNjEGDiYCtXswNPLC3DUSLtOgaRcoPnKICyeY18QjSX0sawMrb+1Z3qhlsZ6
kAGP1AvjxrwVED7A/fRfYdvJbtvlXhtH1l6DC+/ZtygshUzCOoy6nJm6SVghYWb6AbnSFWLphWvD
xWvnrZpNu2Uc6AFuw3AF9G/L+T6AaQahGVjavemwB88d86MCrJmpRHqHbnlZTNQDu+WDEwX9fVcU
L3H20QTWgfxMieey3c99f5wack52UuwwginrKK3oxXWGk1Dx4qezccQ2+zib9iGviAfn1vxaa1Z9
T4ffTZibTJwD4fiRJOm0nZIk2MVWYCDpBjvIQqUX1saRpKa2Ekrl7GeFCwfbmwdlaFykdmUzCp3d
2kCdDR5UNxj3i4Czq5YVDL+w8IUM8A51tY3jCEyHg1tZDzZGb3EnY4fWNP3DkmWPmaV/0k+DkJ7U
T6pbXpCKu5+d6DnMCfZGlJ9NHQJxsTy1TZHzx0e7gFJfj6DYupi6Q947fJqT5WnoKE3Q6tdujtck
BI8iiX2K456pwOv8AAEfWylVJlkjKwmbe5LcA0gm7hKqkx5TMkjVQui5c55r3MCrprdPDR7qJTK3
NP0+arMybdV5Zunav9B6dcOVY+NoxdkwmdQqlV5ge9EvyEmwQLELWuihNRlsMIr3lC1ZP1B32MqW
rhiUsqDi3i8t4nAYklw14P8Z2UN1Tvu09O3ksY94zQOiF5aasp9ryTyxiJL8gztbLsSmMuNMb5y7
ogiPbq0+L250ysR0behAF+kiXIlavNPjuMsFqzHbqfdDn/MBDO6yhAYH+iCAtcq72qDd8TF+gtAV
8VqgATC2r1thvAtQZ+tEGa/KAGdz3mqSFKU7BE9YHWZ2JFYupj18f1N2NafiJk15r0RzVe+DIVLX
QDXHTWGLtynoXtOsvgpYzXqBYwU+y+nAy+daMGZbx8ptzavFcLeY5SKc1jJqXBUaVW8kYEJSyEtZ
XhhL+KaRTu5lTDmXgeUu1S/pY0xWbUUh4py5LBTJN9Pwt6x7J0r9Jq3gfXb0uFVk7Va0KeLtlSHp
wGwuFlLTHenpmBR1RJq6kbFq7lB7m5z1RN6aLDMJfBLYVRfRfCtD2XMY+kmU9x4VBX8Izf+OoPKE
/vsj/0wlRfjB8f4brVn+rh9HvuZ8MyFDcew7cmiUGZAfsq+GgguWSud0dy2LxPd/j3zjm+AOgHGK
NsQ/MsU/ZV/jG3BG2WDBHysdw/o/OfMJZvx25iMfIyADZFKFbpJf/s04UtvYBkdHDTDpawTCliwF
cEs07qhMtXosnFbWcalz/2Im0SEO5me6BhavcpLvxmBpvjIite7sKMuHdW2o8EqqGu5PEiOd0JBS
PoTNYM9AjdSW7lEerxXIJtB8Y2U0r2YWxB9drwbMB4UlAaLoUgXW4YL34ybq46Red1kLRw9OAfHC
JhH2YXaYaQSKThv0gltCXNmy8wmK6gQ0SXFDmlJT2CRWHAwYdXmJuBqLHElyUgzkx2zgDGtnWEpR
Ex6yXjtXS4mGrSL0jteasdBOCUvFUC5MasK0MNpPWEU8y27YfKO+emXLlKq3ZnRRmfZWrZSrhGf+
pgrcY0eTuwegEoSDaMmItWXjgXRM17PNcrcBV0UnT3+euvaspBMMphDW0mxyeyhp0Y5CXG68mjrc
mrExN5+p0d3GmXrLXiG3PIo+iyulpuTaMNMNQ90mrOzoiWSz52CTCFg+ngYTT4VRgiBusb0CSQnX
eumuesCEYjbyW8W2xk3lcjo49aJTdEV8vOavW9HXSwCCGs/FsX1dK6LzQCPjLq6SfsUAglVEKW9s
lo/CHj1qMdl8Czq4Kx05P1ZOLFo3g62Raugr874Vms8rLMb0lkFIyMgXcNHzaLana71yqmcr6NH2
NQW9fFXoFGm1c5Nsf3kU/2LH9psp1cRy6LoOZiX8tDi27N86MRI1GtWU1oVLXY2QVLJRf41mWaw5
p1RN/DvyfI08ssfi799/V1mfv7b/+/6Tv+vH+0/G4wRZNgByjJz2b9w+7KEML6oO4IjB5uf7z1S/
mfwSMhvC3H/emm3Zd9H//T8G0xAhMYYUXfZgS1/pP5DfjK9yrD/NPOxHCc3JEYqIP/5i3o+/rHvN
KCxwQM10t2QkyHb44Glpcev0lASZZy7ttRstjzxbK73usu1Iu6ISE+XPo2BloeQLLCKcs9N9w7O/
NsrmmpZ7fNsqRGPSovm0N6bWX3pgxzRehyGMHaAx4VlLBGQCcv+ebckiLm2ZVmmLPAMy/p3bPaYY
WflgBu4zXtUMQpTSbcyxe17KfDdyLfMNa7jiXmisa4zo/Lp6XAZacRE0T+ia9qp3sodC6fHuNOpH
XLWf46K/u0oVk5lII6/Rp9vcnSDGTOYzPaiPzYI3fKL9LoH16w2LuCzseT4qZnrDGUGxYYFlfcJz
wjPHfxi0nzzFJv8h+YlB8zWdqAABXll3A2QzjxoEi9L4rqZP3BKj1pYV0yB4xgYmkojo1u4an1lv
Nj0rVaecw8FAxa+wvO6b1ujEqxaDHljHE1lEjP90CkqEHG6kmpGFfs5OAuY4OphLv6BzOqAGbrfY
8PShIX8g8XSzBNVRg0gqZMma60Fi7EhE1CswLvyoyOmtWom7iyT4LpcIvLy2n8oFKB632RGDEaC8
sgQo0UmiEU6MfB1IoJ4t0Xp8Ns1VInF7CRpdJAF8QqL4wBnFp0Di+UbRt4coHJztJOF9Ba7e1q8l
0k+JcNJoaf+pS9wfnd0ImBIBqMECHDr++YAz1+tBggLpQWKzJOGB9El9CIkT7OsRDa/io8qIu89U
oIOllWRXrsHaUftCEirMEEIrzK0pgYXp0FpbN6o/cgkztORhWEvAoSNRh/zkcCZL/KFbUpGtzyAR
A9XkZyMxiYUEJhpf7ERwD9ykJVCxmgsyi7A0Vq1kNnau0hxHiWAMR2CMIqKbsJLU9aqzszX/eCbQ
AuuTIgJzZcJz1AhpbjlFYDyqEveYiApsFfSVNzUn/QHpjFWTBEQyQdmrujIHmP6SH5lIlGRS9EAl
JV6yYWW1GxdQ9uvoiz85SRSlGNjefGYkkXawrvXrEr6WDz20PXaU6zZHg0m+Uae7TNFCsB4ZTkJD
pLR71g+zIkJPXdAJSxwwLACJHg3tsxLWj1lZENlwBed0zgAy5AQKExUopzMnD1pRXiV1G7/MYnEA
dIXRxdy77sqsuhUs2eu46FyIuzjEy4JRRvQ2pszhhavPZgzdyJuE8jkmXUvQKX4mSHrIzOwJR62z
NVrF9rK8kS8RceJHse9TirB4ThV5hna5e4fv+KrWogNdCbLMvbwExf1dt8XjkCnw8Zvpqlsad+82
za5c2lv02/s6soO12rEHq/uG2Oscw7+M562how6QqEFYyIvjyMncuNFNqDbWyglJLfWZUR8tdaGb
MpFoUn0Xl9EhdYKza4wnZUIRn1ma8KQQqyS/CUEqzgr6wkX8lrhIAHbaJbvQGBC2TayHE/yrg23T
ZWraJYAUK38TrcU7S+2LtW3UV+Wo3CJcjNskTeNDWPQ8yiin63QeXb4l5vMZWZ31Be+koBzD61wT
7B55XK6/KJuLGkC5k1+0k/WHCaSbrdpW8U0Go8R39RYaFa2EW+yKWGMsViuVqc3rJYlwN0kUuBo4
83aiTWQdtLHhx9BG1mJJ6PRurE+ukZiuzGU/d8mZ0fyYG8mFBSp7bYyqvjVGI1sb2KM2qdnGmwgS
7TYLkLup+qX7wp4w1aF3xBGVF0Ec61vdmHjVJ3y3Uc5Tq4+sMbOC9isu2FRiVbylVFlzOAI5vraa
wZK5pBBUgWZvlQS5Jcnx2tYhPsgiZ7fOa6r/96rzR1TAxIT191ed2+i17f5C3ZW/6+dVBw6xxm3T
ZYtHh42UcH+MejpRTnnHYJVIZhOt9r9XnS9EMRkZSdD/SsP83DRyC9KZAG3p8VFNfvs/uupY8hb2
Z3nXZKaUJH4cZxI9gI7861WH5IxqVFmd4cJxAAGafYtIOT5gWceRUCvnKsLQ2uIphFMycXdnDT7z
qLkL6uMwuR9lL+2G4o74S+ahU+GWMUS1akPg8q6xc7N+Y3fBmqd+N478L+4YOqty3zC059aCVBND
7DDwZ7ZT/Ro5yWnu+g8nidajMNYdkJLVrFWQ2c3vbGbxvMJ3M9oSKGCc97ukanaNEMcW9zOi72ah
jpqNC5qPNVzY1L0543A56lGPwdyMqaDTXzPqDxnMnyJ1sDZOAEmmYtW4bVCiSM6hKplQiKyJNIAb
VMgpOK2NZJ1GyS0SccW2zBjXQzVdF4SlVy1opdGWehTf3JE8lO4t7gg7vNCKFQj2szCyd072ajvr
XNziEHcROKG7JishkZNTVIuRtF+bnFKTCTcOdbpKhiqjAsah8W4qZw4SF8wV7fVWh59+zO47q6Gq
tS58uAfXETaDVeGKgzYo5BKt7kRjCfCTfsvcdh1DAFr30uaMs3CrLi5nrLTd68U1Yft8ZbriOUm0
m5luc1oIS1Lh8AS92Tbuljx+pmmJnneQ87GbosvFFGxr4pjU6ieisb1DcTN9Pe7nNRc5oMmBcc1l
/TFK+P5DnCCrhfi4Z1fmrrcxPleFYa7ztv8ok3SvtHTVhDhm4pbxsNNsT435OurUUitEfVJZAJGY
85upwXBUwlmG59pvw5CrRl0giHYzUvfIG86DMyh8LU/NbV7257J0cRoH/Lu3mEi0qSY5Xz3D7Log
IXzRxCLeK6FGfMBmZWzqHN6ipVyZtSs6WldtA6O8LCJxUceWQ6sC0auwjS/VpHyGhBFv6kxqnnHj
TwAZ7ZFvdBwIFWvZsKs19UrXW6+y6LROteDYhP2+Lar7Xhm2ZVucorLcUOONwpjHrMHbAbiaPTYE
mCOggerwhHn5ox10T0mm7RjDyUoKYGeFXZ7Vmb/V7FyV9QjAQgy3bpptOvVQL5fdcAqUeDOrYh9O
xVmziit9CHY4vM9Kj79/mIetLtstZBC2L6PF1xc0C5sKBj6gcQC7hqGlxgZWFvyhRW5VHvaIHK95
b/u5OnyC7E6BeBmOtK7xqJK1nBK8vKX76SRTD2imBnSL6rLVCmsfadiil8DMG66MBvCuQkxbfP00
akxGAOEpGukXco1NQ4ognCK2LkGabPLBfO8trON9lL6XxvBUL/13OtSTddmyqA+N8QqoOHnV2B7A
F9ndmtfRAGunL/TmqIdZd+TdI8eUyuHsrmuS4gCHrCJPbLT5yrbucUYBL49wLWx7c654luqCe4Mz
ATp3v6DnbqGYbPAHnJc7E30IMLrB1vtSKfK5v/0DqD6KRjGO/dSXx9EqsuiJCUkfzmlX7cqQcG+V
zNm6NFNzE8cW/CpuRVoT3rQBTVtdOh1Ms+g3jdJMW1exjxYkB98iVib7hb7XDBWEW2zMW4n5lCpM
XBGQCUxyi30wSj7MtKxTFWpKfcgqX6rAfI2SRvc7NyEMvdSfaMIDGe0SWmcBnkVVuaU3HRvoOZ1O
M6gwGuKTTVopJ7NorpWgP+Zu+TLE4+eiGPR7UI/WaqSKwgpES2tMB6z5lgqNVjjVa5wi9gBEX3U6
lyaDnl2KOMZbVU8ug1ZcKMn8nEX656Kp/Cmh9ZkO+UOhxr6yHPR5AtdpEZcJm5uUoXGlIkBLOFx2
zCLnpKaZ6oupfB3DZc/IR7JDmWyvjheyj3p+aTsSE2wJylJgFSLs0PTlWIsfT/1pUeejsKbA46dQ
7ZyCqqiWNM0W+gfvdpYBjogdlmBY6PGI33Wpv1jho95A1XDNJPAjBTCNm4qRL970iIhiZywCfjnW
G/xjMdEYdyrP+VSNa4aZi8rF9UH6KIRl6JzjsTjBM0THwnwnSCi1eUt9RPdqi3FeMyXdziTBKLmQ
IDHBAWIl/X3QM/H1Y/FYZuUhUVK+x3556qlzwrNhm3wG2MRbqq54Tdl9tELc84LeqBX9rXnUrfTQ
2BlJec82TtL6Jg/L3L4ejavBrW6EVb7FHHQszNRLUyUAZPHcwUQOtsGiNaxemn0INJC37hiukFQA
F6TpXlizTJUVXuLq9ba14tGLzfacxj3cA2dT6N3DkGu7KmX1avY6H8DenNapisKLMar2BdC+LRNR
5Dm0qfg2OfVCUbStrUeQ1viBem2UnVWqz7C2d4e+wC5Z2+LgtNN9VpQqKTQOQV5ZcA+XcKuM2jHD
kuORdYU+z5N2hByJWwe7odJW9aorVIhEOpPwwN2ZsFAdgIQz9qYZX0V98qDA5doohYtlNQ54wVnj
bsl1HgnLvdKbYfFdDZKyXU7fqbt9NKwaU4nzfTENShXUTdUy8KchYfnK9ju8w0FePamluzPM5nZ0
9aORKISp5tRTs+ioN+NrmGfb3tE/RLocMPNes4thLd6pt4UpX+LUcfGuj7x/FcY/FEZUv7+/dt/E
w0fTxu9/sWSRcuGPm7dmfjMhugLb+s89+efFm/WLjXECIZENxx/8+x/WevObyjqGRQqWd7CucFt/
2bFwUaflCmFdZtr/mcXvqwj2V4nRMTD3o3xiqyC4gu/jz/fuSC8Ga+gN/dSUdV05Fwq2HOr4EAlb
oqrCTFIarXUj9RnKAcvHEiKuzTMv3bkDCOUiUZx7WaQ85pOyt6zCOPXcE/1Rb4sjy8T8FpL6eO4n
s7oo4q783oXdeNDzMb01tbE5mmUiCq+bnI9Aj3Fwm26w0ZLGIqded+VLpCKggaeGHtmM1coU2TbV
tdFfsoJKDlT9T8WIlxu9tWnuFbCoINkRTiUkjZhv11jXEp1XWJJ7bMnTqzzvgzsdie+GLGMW3aqJ
lYbtNnO0etljuMYz0LD1AgGoEdfV+YK0TveshtmVNZHPXF/Or+QMh+um0VxWzXC+8CQs9qBe2naV
rHMrrpN7JVmwOtZD6jigm+y6WY2NAUnTGub6Je173g8DVSQL4q/v4NxqqvngdhXQGrlpUodGWMdB
LqGCr31ULldTxLvZUim13FjNcWEYMDnaZD8TmRM+VUM3TEKDs9Pl4qtkA9YlGaqLHRjLyUrqbu/W
bjzcLAne7ZkX2WJ4ER/M8ZSTMC6UP/Yb/+5cZRrq798IMrO/+pAf47/YO/w6jMNyFgy6yPtfTz5v
i5/DuEbchgYLXLeyUkiwEv3xTrC/SScVeJEfu4WfrwT7G6O9xFjYGtkY2f/zj9YO0kr16zvBErpF
u49ryaUrR6/89V/WDkTdLQufvQIQLE+8jHIFed0qMhu0ktaVm5TSUAUQrsfG/hqzL82ecVOtxjp9
HOeu9HHtQOkDesmCLvFU2y5X+jgHfl27Iz3D7Rvvigdoni+VWp9mngb2eu5FlWfN2gSpGVTGPfmQ
ba7lmBA7iGw6ZnmrNr6zxPNQBFovMNRrASFoNboBzQVJ86hOzufEXLNJxoo+2uRedgatl3SBVKFg
W8hF/WT2Ve/HWgUjVBk3SVhVfl0q8ERTOrqUZjumhLBNrsirtocoy72fW3FQYhse2ZD4wWS+VNmg
zNdI6u6woXtnZCotJZEMQqFa4atiGvcFIwUrU7GpJNZskIAzXaLO6tlYDxJ+lkoKmsShCbSKXALS
ejV57yCmoWwLgNdA1IzuMhvu9bZ0YK2BWEOtB4QGdc2R+DUNDlsigWyTADQ4T4RT2nI42kHbHmq1
eKt1LuTwqriCr+GA4ny2c1O/rtOQOnWkPiKQAFNJ+KYOSxiKu1Xpin4qzPIBZbtk6zyVF5isZ09x
iLQ6WObCal9k5WWrtducMHQmnMNkBU8cbdh6UmPeE9/f0Hen7jX6CQh/tzO1npOO26bkhZzxwuH7
eXTDLj4MMbvfSjYP/j/2zmQ5jmNbtr/yfiBl2UR2b1h9FaoBCi0xSQNIMPs+I7uvvyugQx3ySqZr
mmsqEgKIqsrY4dt9uac6CIPByi+Bpz9Q14HZraIvD/IokfG4w7Uz1DFkKM3M1k1Gk8zaGLzTbE53
esuVV3da1eNHDUZT6fchDSZB3XBLb6xLHfobbTQBRjl3duLug2zepj20JJ0St74LHzovv4w+99LR
nLB490uR88pzykSJTRo8T57JYT+4JVRWHMS5NtMp0rS7UYYPVTEfmyG+b3L5Enf0n4xeQ7dzVC0d
0hkEkK3t2MPPhVVhbkaCyw6z5Q0vOf1KMvlI0LD7hp9Nm0J7jZRj78D/sgdCUp/tV8Bd+PaAinUy
O9EZcM3tutpPsPCOlibuYzm8F1qLiPHQSMNYYka6C6NkVaEXF9V8aBzjSfeTgcLBZNvGzS6eEnYG
7N7iNn3NZci47iJLd6SDrLqiaiYkaKTBKaun4c0PjHKt5xyxzozFEQs2dRImnuGy1ai9G1lW2O9W
pUN8CZL7OYwugyGe62Y4RrbxlNW6sdbNaVMXimKdaudA97dJXsChYssQ+cV7z60cCTo4+iEGThJv
N1nGX0PSGTrZcVLme+pej31X3PA35/WI1oXV0O7AzEAx2BjUn1Ojwm34GumMSAvNCb8kEBgL7jTM
6DqXyHaXxv2X1h9w0fVrwmDbxPJeOw+WgRSUXmKixpcIk9jaNWH1MrlqtaSc/oNwjp4pr55RQ84d
cbU1jfUSy2Y/tM0y0/oAOVHcWUm4d13rzmR3sJzm/mT31BGOdrENCrYZflNRMeZuEayeEzM9hnr7
6Bbkc7JEv3YRclWVnSIkeSq5ngln3zcxrwW1XF9FrtypzSnuTTIXudyHE1NXEve7zKwp2jWvvEkO
pUSMiJru0gYEz1z6sqXsX3KzBustsk3f6ngUhhuoVzcaEv+iHrS9mMROb8SmA5uez8Nu6DFp0uo2
Auzpsvmu61OMF3lNM29zM1a8ZT187nmbPcIVf02H+CJqe9814qMV1YGF4t6woqe+je9tr31g/s3Y
IQWb3o6IMXnvKXFxI5cznsZyH5jNEVjloZgV4NkYEKHSGy7Vr2Nm3dN9RFqc6cgoa32ZODqFLfGm
qKqLDeksdr3v/95WPm8r4m/9YPfdWxG3lKy3f55N1Ff+uK7gieDaQXkxzi8yvb8wH+Fp8UfcZOzP
KQON/sds4nFfwfWJVQtx2bEd/uiHJ8L9DWMX5iAVKsccwebhnwwn1q+5cSJJnu7p/Ah4z9SNSudH
/3k4gV5gpQ1034tE251PBBPt5GwIPTHXXZezNY7rnoRkZp/tqr6VKhis2K2NmT/0Bt5epopjbTZf
sqk8ZG1xjcG+dor/aiVUbwGEhb5N3hZELJvAcEVhwzHSh+c5KT78mP6psjdbjAlOeWeDmoUgjnAx
g9gFY7EyBYakrEtOoLBgvHpEIKy+MN5NOCKcB2HGQrX3jL3uWk18AILSke5j30xRNnkiMIWVxfIO
ZIZFA0Nf7V02etva9Q9OBqn1wQo6jsYgHxIcU34YiWOTxO2XZAhQ4XsrN+EsQgledjK5cVm0M7v5
dotc1NikZVqvoSy2cHvi9k2o19xVHLgV2TC+S0fttLPi2a1snorRsPXghG/hwr9VAU1c7lCPd4mX
DWiY5SkOdCzBADYWJFTX9Yy/NmJJUgbMK3rwpDXzvnO1a48aVfQDD55ihVf5OA72xef2svAqZ9lk
JnJ//FZp5U0mXW1RdvIk3YJ+da3aeZGL6Okb115qexxU6yKoz56iuFgNAZlhxxlwYOGxA9Z0DP3i
nJvjWZbNuz61Vz/KdmbiPCJQQ01xdwF1JQ7jyKLOqvusmgGgxdRP6tvBbq9Nh7g2DvvEEc+5C7HI
9958rz1kyYAXNbfMdeJ/LzgRReacofqv0Zu3opqXRtmegri9xRf7hZIilDOPenGDWSk6Y4O5eCS0
qIg6Fy3Jq9F8nkkj9SZ8Yo5CXksEWgToKDonuIJby6cKzIaU2B0SO9lWjv5q2smG/s1TZXXvYekl
a/XShy4LrgZXG4RHzxmp42o7/HP6WZpcTuvk3DgMeVTddrP2aEfWPsPJs8hkuQI8tW8JLnuxt/CD
+oMWYMS47JkN12OpRxxK2iao7CMosQ1dQqwaetT5yTgOAogPP8TSLwwQHsaR+q8De7xlE3XH0DXQ
ycabYYz2ZctxAYroo3HNa++P1wbj8iIIe/vOteFdOUN0dgJxmmwzvzQUluxznMuE88zSYoLs+X3Z
Y33RHZtKLt5SUplH+lZb1s5QMdv436ZwPGPGWYncOrpxeDfWnbMa8Qz1wKZWVl2/whjm7Wc5FISQ
R6j7aaNZwSuLhtNAGHnj5fIhZflnaZa7SEXX4j+cgTml1EZYuXCXWoRGTTNWsTYj40S9wFXQTbGk
Q4S1zMgr3if+bVJp25YalQqBcVdFqbbUWjfZ0C9x6hK5xSiztKGi6Kx+1rw7eLVMk1Fftrc17R3L
QrRQ+8DHRFN7k+Ucq0F6tGqM5Wz0cqc+V6Yq1avzr8C+eDFmbUUSmGEumPhldcyymbenuspawQ6z
aPOD9B3MI7l6wiKljh/VjOyEkaE65jF4o7SDAGWWL51L7px0er/U8vksDes0pvE3bAwJeCuTfj48
2aOKTBZJf3UK8wkm2kGzw52nyWyDRlCxGxtOto9htRc8ASBWVUu/KvCb1oFcsCqqN4mcjmXNXO9Y
8SVN68fekc4yisaH0IEwEGHCLFRsAS4N9AVjSVM5/p0mgc6QF0sSmz42C204Ys7KbkAepct/z/7f
lUp0gv9Ll2iKt+ZbXPyVNsFX/zj/kSsNSykM/n9O+f9qE+iVHL1YEQGBEArWUTR+nP82f4IAAe8Z
DurvU8OP89/6jXwzblfUCTUH/DNxwjDRRn4RJ8j5onFQjIwyoZuWrv78J3HCH22t8hk9z1rK+sVW
OppHrHfvKG2t/5TZurprWGhOGvIbIQekuGCo2+RxSlJyTJ9iXaF0u6KG3KpjREHPGz+lPfm7zhdC
80P1G7Oe8WJR/64IWvD5WX19SoWIkg26YfcpInqsn7h3EOnnze3q9EaFc/KQU/D+SKA2MZdZqk/3
kcHCFRx+Em2qit75EvP4DvQ6RYC2dJ8Ko8c3yEWtf6pIlRDOt6t5WoqCKCoPmLpYplbl3VppX9HQ
WCdfNLuyd8I3wNPRyhgQfzVCb0EJYXyCbeHJZR6w7Vl6sRMs/dIEbKjnSyxA8qRrbn52naK/5rjg
qe1ITbGM3aLfSS2w2b3X3quJP2omUuaXMzdV6YwL12MXDcAhc690G7JRn7s83tF6Mn/NTc1aRaGY
2mI56VyAzY307YTwp7BkWu693uq2dsMLQoP5qPVfurgxDHx/WChFYsio4JSNUFFRRPu5J/w2WHRE
7/wQi9x6qppw65IWv2ubPnml67S9893WpczKMbCkY3Z/yIfq7FttRaBG47d5W2hhT+Fzq4JaYVDK
eg8VW2IEi83kS4pr/2H0ibsgi0jAHwPrwWynW0Xn8iysgmRfo9yMh9yNxfDhDF744Vu+u5WqgT6L
o7ImH2hCLNIoacq1xqWCMW5fIs6x5lITluV62v1rbfoPBRVv/N8/uVbxR/hXDy2+8I+HlvOb7iFZ
2r/DhlQK9YegykMLP7bnW6w4vN9jrT8eWtZvXCeU1PpfrfXHQ8v8DXXWUl3gAoj8P1RU/yrIIizW
9aRasY6z8VRBl58eWjGfevaOnXUyPEZtTMU1a5CldOz0kMe8eYmY9rOLKVjolUn/UDHN95LBO6ST
82jJxH1LI9UaBgxFr18TNzOMW3KXkIySnlTYou0L/5KXHUs/S2bxvu4m8wGflWbvjVZvtIXva90l
D6zgkE6OTiEYNSjGfewSlbvhcZW1X/0idIZTY1WNfYcUu+2dIvsgMIYlu4glEqXwZLLV1f7A/1wl
dPXU7UVmokJSwpVSgamSOLNwidq5daTfmCqp09SAFpdFAYEoGv162dRNt5b6FN/Y3SSOQTBX6Bt+
4HNxxfECNyIgbOsK1CiiEPI2Mu03mP6vbhp+ZUinW134+RIjxUfV5R+OXxqAF/JafBu6eOnpxdKs
w2FfzLq96djjvg7kche9qUOjGFJpQA0aMKaiRT0bGtlzn3nw64ibY9dahbmnjj46aqmprDMNTcG1
HFkLVfVWKCoN+9qOYpYC362HJxhrJr4dCpt5cauVQ3yjHdpg5XX5jSf9cmkHjcu4a8/7VOBpjk0f
ddmPttxQ80WDx2phTV5CZIesilukq8rzPzwB1dPr511mIASx/dlOAf25WsucFAYN7lExvogIQnQ6
zP2C43ZbGj4dYN3Iva0ZzqnFKKgzcYGMtcdVY7v2OtEq8wL0Kb0nEWVdYdkXH4kuGuxbcfGc9IL6
2bj+VsDGvfl33vqct+y/fWp9wTDxZ5VFfc2PB5Zp8OzhMolTDWgz3of/PrBgsRGc48HEsKSIa7+o
LGxmYFSRqrcM3VYZ+B8PLA97p4WN0wL/zF/6Z8A1Zrr/NWXxP9AdHoBqq4T7/H/bMbtmSIrMTMZL
1QU0WsKZoAbpoTN5eCUKQTFjKod+ZGQX+gjy+1ahKmBhyZ2cA4OM3gjhSxEtamGdeSjqROVoypjc
5MNi/lp2CoUR1f27LwcwFgqTkSpghh+GlG3mIGJ8ehQfBFyNRgE2OkgbPQfvJQ+pox4UhsMI3WIr
2ZCvQ7qVV/QWPeYK25FlOPQSH3s/Ij4fMNAbID5GBftAUokvmQKAkHd81XRn2Pko+6iS8WOtcCGR
Aod0CiGiqU+5wa/gEhtspEe983f4ouxLOJiUOuU+QZeKxSvaJQG1gucCpsCXkgkEWz3t3oXMj7Ke
tqmvfRkomYfEwX6aHMTSjqqDLgWbl1BfU+NwSBsNNqtHK7hxKkt87HpXItfTN8HlLnq1e/E2OnzE
y6F8DlmxKRfKuopCFmVhfN+JNkNz0pyFVRiQdUIILnNf7zQn/6C0KCMa4xychitlNxfYiqgX3XRc
6zZRwPq6sOcvvNDwpZ3qvtSCs8imd2+Od5aKDonK+hZM7S3+w/6Ia63BxAVzph68M04aEofBfLZL
XtKuGlfIDrdpbr0j0SB2pF+1oKL6PcKAn40XmAEs9Cue1QZaOLhVc2/DPaJJkgASuaULhgeIDrnY
Oa1zLMfcW5euRYrJiL5U4XwnhMDwiUivjbO26AuUBd4fIzSsOvUu1qQn1jugJXvaux2BGDcKbzQA
0/mywfW2AhfdLth6fWhtuomlJ9j2TZvPcT6gUP2k99mhTwgFuDapBZMCPVatILaU6S1QgLdQod4m
mG+egr+1CgPXsCLlHktLiIARV5uVWDDMT+sYj94aT8NGV0g5FEp+yQozp00A50KFnhsUhE7nncpK
7ZopPF0fi/2ogHWoNPpDoSB2aA87Q2HtGgW4I7uWr8xggBcD/M6CgjdNpBsUFi+17YcGTp6pgHku
5DwXgp5QKD0ovc4iV3g9F86e5gHcc7uJdLuC8IGQAXINhqFXgL6gs49c7rnOK3ifDsWvyWR8MOD6
wUOgu7WMeZVA/mXWS2sEF20IN4NiAoohxp2tMIF+3mxbRQ4Mp2jl1dl7BFLQKys+6nxMqsod+cXm
r+TJD6M7VPtUc71VFhvGhbYdaxVILbqCqKCTReAtlF5w7muNEIvvrE1yKyQNEKQsVALWw+Md1gc6
pOoqPdTTTIQU3MZOrzux9tpSbKcw8Fc6hSf7qi5uwkh311MorQP24Bnus6FtBauGdVlXd45GH+Kc
TgdND18qLbduzQSMEE8/zMGx8JdAHw4a1I9wDIO1k1RfajcJv7dFvqITV4o7N0k+5mTGi1f4lML8
O/X/Z+rn6Pr7qf9QvtXyrwqqLL70j2NU/41x2sBCgIvq1wC7OmE9By+Oy9VM4KT4r1jBWckhbhJc
MHQTuBoSwo9jlEA85N7f/2f/NNRguZziv2gV7CpI9DgOZzlnM8fcr2M/Z2w+jmJqLpOGVYmWe2mg
eBaFl4CHjIpLLJwTviSEURRS7r824i2PtjnUr1YgrmmDS53MOg7VaJ/0/U2E3tpb8phi8NfQYTP0
WA9ddjbh4fQotVNlHXW6dBYWGi5LlE0QuscWbReo9h3UqUd3AoHNhOihAXvkB3Ex0d5d7FM04oj6
EMI81p74wVODikyxwR3dr2c5obGiMo+KcuajOzvezH2eR1kcPtrArTE4JuusGd59FOuAuFrXWK9W
yCUCRbsInE2Hwt2LGnB5dPbLcQMdiv6hCt06WVhlfWIX/uwKEkOGcfZRgrW0vCRGci5R1HsJZAaF
naTEFzYwt1EkT+EwLTkztwJFHlr5uTFJXfnf28ZXtYtI95GUhxktPxjwYaPtJ0mP2Z8hAs0/CmcC
SckqZxfgVM391E48cMf4ErItoHRyZbA9sNt8N7NNyL3uvWC7QAXAGXvYsWfrYM/ykDfTTtYwRtlK
uEl1Rq5az4G/t0JxddX6gjTrrlMLDZENp1StOIyJDW6QvlmluPrsQCKIBYjz7kWyHQnNfDWHPTUF
xbJle5L4495gmyJU2R/bFaegXLlm3xKQiSWEiACrlrWxWso4aj2T0a29KtnYuJ+rmxpnt1rmhGPF
9p7bSs6ep/jc+DSf25928gfubJ9bISx40b4rYV9exDzT6pcIp7C2fQNmzzdwwfQK6KbIbmUtMezj
703LrjoUToPxRJHgjEwJyvbc4/SnhTEbYdZwo6Sgy5qTq2mY2PY4+LEw7JKCyA6kXG/NP4lCLpNC
YkMR6ZLKBamgKHXShVcX9LQbtiDsYjHVKyzlAAAsJ93MinRXVljriQA+cpjRWejgYkkyyqk8HPVz
8n1QxDxfMx80EHrkf1YQoS4zyRwBYo8eyIHrE34P+HvQQE+E2p41DA/JqZEd0P1PYl/FNdYC4hcr
mF+ZPw2K7lephUugiH8s2oH6V+I9DDsw8YoLWLW1XLXCP5PuJQQzJt98CO2I5TJf9oosmJreR1j5
r8VkPtJY9cHPTzy11OmdUFxCq8KAEClWIWMIbOOUTo2+wuwM0JCO30sP4BC455MYp+/S1Q8JAERR
RvFm1OQ6Bo0Yz+baz7P6zJ2xJsvApdNUJMUSpGLBxMhMnrLziHprJQW49cEoXuiS5rdc59+00mNp
MQ7AE4mdb5J03Aca/Rk6Dgd/7sl2E/HJuvES6+67qnYYRc9AOOa8b10Hth5+ApfVW+ghN5i1ufEq
koO1ZW6D0nzpagKzPKaABoPyDUl3SSd+mUIQU74mvsZBjQsaDzgsyHdNNiuaDqblGOirugieLeh5
y4n5aDYlFEq66ABEmkvR4ZOfm+ohwj+00pNpWo8Or/sYBC8WuWMmhcDl/WVt4D/jgvYHPqJxOkG5
5WPZUKjEj2d9z3X4TH0QKhZVQ1w+pqAtr/dg9x1+tv4AQ+cy5kyH00xZRG7th0iHjtMTKtAP3eAx
m2iwPmKN1IKkhDqN9HuGpRu7iB6MydUXPTGVokmoVBeDtXJG7cgMamBUTR/piSFiieNplblVJu+j
KC02zdCG0VIrA0xCULBY7PTRXgBSJJUrFoXuaWSoCL2zkmGd0uY0j0sTrtmEbkNSyDXG7C4u+/jf
3cl/ZhFGg7+fRU5vwI3+fKFX3oQ/JhEI6jgSMKC5n0Zv/uiHAsmFHh4E6wpKxQQDyU9rE/c3ViPE
HdmK6DgbfrZ5Y5vQXQMdwGBAAb7+j2wTSl/8xdGpEpWYR7lUoXdSsPjrINLKQda5Mw0XvbxtQrGe
Enf10y8Ft9AUlsXPNXv8+376Dh5iBmsfBh2bf6HpI1L8+h1Ig6eWdKW8tCKhFYPgA42Xdyy/jQCe
P7bB9d9/P5zu/8d3VD/RT5qqyT0m5sIvL0mF28KbFE2OdkEzh15ZtndDU3qHvrMreOJ2sGidjZOA
Z6iDMbDXXd5RIBIWzuto+uaeYng+TuTXV0ZbWgvLi452CaHCM9Nl1ejfei397o/aSzHntyU16oBP
sX0kYcM6dyKib5kRBkTqJxZ5GIc7kTrchbJ4Y9uuBQgnLrfBNBZLcpDJwm2IlqNPNuBdYwQ5b1nJ
+Oox3dFtVy7cuD9qdcCrlOAHCTxl3upWYmJ36wx3ASh3/CHWriyN2z7CN+WBUNexhqZJeENl6UJa
2mMDO4BL8ms/W7ejG+16+Ndro2u3cQdyofIOUWyPi8gphw1NWC30/OlU0gB373bstbhyssi5L4nh
75yarBttzLvaibTubq4E/0HmDUGkLBTHDn8jTcgzi6iWhg8Ks2qMX97RQUlmaX7EybkfU1RlPzhr
enqeZucZaCvUBJYkFMsTvzPjr/T6fcsgR6wHW5zGShwC01r1aXXsKAyVctoT4LvV53qJC4T90XSE
zXuUXlOuujnXuVQPN22vP9eA+4XArZsX86OdET0P8ik9x7K4LdIOaDni6JwedHrFFyMWCzbj8Dnq
kWwOHCmiaiTm2sR9RDvHy8l9cGPmFaxFOXQE401gK3ASj9iGIOwRvclyjvfhIiLv2srGWBjo+4so
ajZGlR+CLL6VhXY/9MUmwoa3KFV2PvYx2HXf3Ajd2HCSOzMc1r7M5SIajRW9ByuRTHcd6chFC7PQ
GcR2aPqNjtjbOR7GJX1VluX9XIjbPKhrcnIYPrss7a/jFF2JZ+wbOI9e5b0Qgl6OuC4eKp08HcrG
9wJTM2mMLZBL1HrYlALsu5H2HzoNrwURy1oYaFOuvzeJKi4tK6YlbSBMG97SDn0SdgJ2PAetaK8z
t1jKMbhp23LX2Pj55g44lnamugGngrbnQXE3YfPFx8zEZ4lgA4z4STTt0uQTAkkEB3RhZ9MuHVAp
mgxULwMBqoZ2SNv5AQkN7HPWMUWV90kPvyShDkQGbBGkZ775MnlLXO9UUmi7GBOqETBmThA8BrC+
Qe/tPh8z/wYZlHb8N4deCdv67c8nnvqqn0489vk87gkK/KcY5I8Tj80a5DYCuj/YAH8YBegMIVaA
5O0apKL+l4TNXZ1Tkp5XADI6HsJ/YBTk2v6n8wFKE1ADj/YROkpU0ejP5wOmnqxK9US/mJaNYd32
8NwgeMuvTSLXvUhHMtmQ8LUAJn5i+E9B10eLQPHyeWy/YyW8dxVJnzzGCmMWbH0g+1LT9y3QfRz8
4bJRHH7chqtAwflTy3ilEZ32euw6N3ld7+ueQXWOL1an7XMI/0xoC0Mh/3kz1xRwEq50W29X0Asw
D9rKhTDUDU65LGkO4EYTLLN4uJpWx62XcgE6oLmMazxKKu1BUwUEVPRiaqOTIAycmyx5ySgrGELm
Xjxk11b1GNCbAu7fvslVw0ECwHpSnQd6JWiYpgVBpw5h5oDsC3njtcG3yh9uYtN5NVV/gsA/tQyL
gMI7wo6hiY5N2QJPPuOtmQACDBQxzG3zFFPMEGIjWyDj1Usnyx5Hyhuk2pdReLxTfcaT6ncw+DcE
FD7Ec/XWqgaIPkjjNXmRfBmZNVV/FEUEI3eMxssfJ1KsDC2v9HvRRUi5xOjV2+6zbYLtwAIP5caj
iKIO7Etq0kxhU1EhVVfFNPtPieNvJCUW0Ny3umq1aKm3oFUKHhSFFx7FF0NLA8ZAFUYc2XRiqHaM
2k+fatWXkabdi02BBkT6huIxKjWo1jANKzxGaXj2IxGtCuo3cHd1S4NCjjbgyGyp6DCp6tBVZwfB
Uh93oqzW2Cu+FaF7HwbTFmTTuM7L/EBt9ecx/UEk7mZ2CuaS7pn/titK7h+i99C+zRjBOuluQTJk
R3/MHxDFjZRYnss1CS1rBaEpWrmy/Z4b9S5xm63Tk3ntZBNu+IsnQ9brqmSDoKewN3utvTf6ZkvY
7YuYjK0f4nyoPBteBdmdriyxwhT5nUwifPtI5KKji3zGnDEpIQNfr7dM5+ZU+VkLxCVgezxZWzMs
b1IqnjOf0yyF8S3S4ZBEXbKMmuncsOfk4LrpZnz7mhe701cZls1zVHTKKuLTHelAG7qaFSSmkJKv
XLvTK7++Qq1h+WyMMZqRvqHvEFiYGXxPw/EjsH0dkhV4D712D24xPrVO896llNFWZXnnhv5Wi9I7
o6JGxoNJyHJrVY14Viy3B5uv06drd2fDygT/OIojXTQZa0x2ZTeKdRSIAXCsOy+TvmXBHOerDqHK
cia2L7QmjuOrF3hr3Z8eeaGpJUu0/RRrx6KOtngA9wWWP0cVyyTZyteCXZJPm9QDRDUywk1iPlhV
92zUDZbUiWr2fNz0uQcOMU7wMsJEBrlKLZ27HZiO8irnBXnqwA5Oo9wwuSx7ogCxBhIMA+9qyttV
FPsvFNfTINdEFAkCNYTbQOlp7nAnToudX+tnkBRfW6YIncDENLpIZMJXKsMJIv+eRGJFHxzIKUg+
vLY2cyXru7b5Kpv+kozeqk3Egx6HpO4noK5Uw+PNK9YipfNFB1CC4dHfgGm/t2XwUTusoTDx7TtM
OwhY/Y793LjUakZDK78N9Bn1kutqEtvKhAqRTMjT4BY3o8ZdHCcoaxTvC6u7BaPOjhjRopn0re9K
GL79s25W+0CMG2KW7jpNMp5/Y8Fa0imvlvS7ZTw3F6GHINWSnbr4V3F/Dpz5gY3doja7u8CUh6bu
wSozr4z+tJpnc+M4DU5QYw/toF+1ALR4Clsb3+5u9GLeeAUQaZ8qwrrS37OgNcENyFcLvW05oCnv
aZ67NZToE4Z3xuwdfW/ql/MMA8OZh4OOc5GQfrRMq5BQqBYrYdCWwMfGW5Z1mzSbbqm0/g7SCtZF
hczVrdvG06A14PQa8GpMXXXbud7jGMtomdsoeWNu+8BLzewlhQm4Cqv+e9JKal71p0wW+6Qrj5HP
REij3lXCzzQZ++xwYoI2qnM0jps6mR9Tw6T9s0+feAKv28K+a7SANibd/6I5zfNY4+XNI7A5MneX
+M2WnUGuHMElGtXqM7wRHXbSQEz7oPYpAAJ1TqwEBlb6BM9rSFcGyJmNNnfD0hu9dabHe4AzVCsN
+bway+ibQL5eTX05rtrGePPn+WI0tBkyLoSr0DRYSc3s3Kz6u0seBf9ZeupiKnYk16dVVMbPZWLe
lrl5ZcKlLaIUizFqv9oYAbm5HFxturQOjg2T51fjEpyh/PVxnLQnPP0PWYzjYiisVcXaifvicOlT
XCZi9hipWUFlMpF3DXyWtQ2CaCdUAMsJetbWuUHpye/OiK/j/w8/yr+4L5t/3rA7IM/UUpJlPpdy
zAE/jydY9AwxYSu7GPf54sXe9Lf1cl7kS//t4dqeaJZcl8tuFx/t7bCKduUmOuDFTU7R9t8B99Oh
IZgH/2bApRTt7f8ts7fmr6ZcvvSPKdf4DY6HgXkVZzN71l91HYY/ga3LxtVlqqTMD2eZWiMJx0LS
+R0tytj8Y8Pk0KxND7fvmFyEgC//o4YeYfyJm0Uchoylp4Zpvpv6IX5+G7lGaGRZY5cX04OnA21J
tRUoJVTRTcwxNPZDkG4y8plFXmBmRen/kpPdpDR34xH9wslydvFH0vd+mTW4eywcllnilsdMBUG5
Oz5NJEM9v4IO1LKa8bRu3U/pg9ME9OF1Mzq1CpWWiXs3hqDEF3yCK32deY5OsbZNV7Yx6mcq1Xri
ZqLfRkEEKt7m1l3oXUTfng/QrqkwBkwrwwtZopTEP3W7BNc05CvW+PD/GfGmCfqfA4BvFY0dO/Ne
f+wNbCnJtB7MrmVBIFJVLNQs7Mb+6vDvXFY5/9/aD/INuL1PcZv0TJF89akOWk9BSQFeTvlsNkV7
LtXBPqu4+rKyW5cFXX268qDbyo0eKF86TwJ2/VjVcW9BnVbudTSaC+U7sFRAFA4z2TpHPlDEDQ0K
67tD4XmlvPDkO49ipH4BOIgSpXHMF8o7PygXva+qfNJanqoKrlA6ldlm7jVqaOyDjQk/T/qrDxhQ
9eDa5JCNnasc+xPW/Z6NS1jM51l5+qVy98ukecnU81mWqrqsOpJ+4tmrMgFhiqdFpQRKlRdoVXKg
UhmCzHQ4OZy7VKULLJUzMOdwXavkwaCV+BowjrC4gbUPcJSQQqnnVMbFF3S3G0ulGHLiDHXPeyZQ
AYfY6Raeyjzo1BGvBTNRS6dzSyyirq2Ta0esBv2STIfKTqRGsYIBtG0S7TYdSVfM2CJ59bjaSM+5
mo55otK9XDdTPy6FymeYn0kNldnIVHojSXWX/BIt12GLoZeER58Up1AEr5PKfmSatw1b0iB2pz8J
4iGJVbsrI0uIypAc8YiQhNROG0RKZqIlNRGTRmVNcpU6CVpnH9YcFGxlj51sL3HZ1tpdWbrZ/DGN
Wbpz2Xz4afVE4IPbHPNNq3ZJhcQwkHT+lzLVr53dfPOqCdMjNOo53CA4kmQZDn6nbRrdvCmz6ByX
5WFM2nNRZrcYW1J2nWDTskAOeyewv8+OJpEaB0tsYxm4OESLfr43nfkU1kh3BnfEDcU/42KwHL6v
2LIt2g5K8KPkAfyoddvYX1olCObSfyyQoqiUvGnMBnWxs9llWFCW5lsGBhZurD4mW97xsGM90q1M
OuXoq4CQHaBIWm13JDLAfYw6b3B7Vxe/EQ1f93M14rZXsmakBE6z4UItctxZfmig8Ckh1EIRhbQd
7molkppKLi2VcKpJ3jlFxcawULJqjr7qobO6ovheorvmSoCFdP40Y4O1jVQxORFpbSXX6k3gLti8
vnu41o+UgZ7ikXqUSddvuWXxYXBr4wLjEsOZO671efiQGHcWuTNeAftWe6voX+mC3tRCf5li9+Rl
9cZv82iVIwnT8dwKyJrhc4FRnGUhIpU3sSUqV3rV3PpxdqMTd5+VTmfXwTmh4WEVO+muxEDDHGI/
emxj+c5gsHzxgJfP3EZ2CSe1NiqS78m4rjXzNPIxuHVL/4riuhszEROR74G2/g9759UbN5am4b/S
2HsKzOFiB9jKytmSfUOUpDJzzvz1+xyFbssqG91TArYWmJqLmbEkFnl4whfeEKsTNQ+VSZBpqJdY
9YxnBcAVVTocGeQJAb5M6wFFdNLtOWD8757zGOTWVVVrVxFjwjmgTFUvjSkP2hdJrS5kX+ItthGc
PdcqJ+3YgYdtw6Vf4CkdhDGl8xrLRS5n2xgzGAbq84Z35sNeBiMftMe6pKRzXuiwMtT+qk9hRyc5
yKgswCDLJt/oCxzoMWs+7MFluRKQePxRQGTDJ7C+wdUPDtmOkVqj4eURykt+ca0G7tLECQMogNnM
e7rBE8erHiOVJFqqtGVpWLAPiuLUq8iM6WJfN0Z/gjJNiJ9VsWzQbjKi/Aw78/gwV7pzr+6v5CGb
S642LKCQHGeFs5IUqbvxx6FZdI26iRw6spVlXWKZTdlFqBL8J556jqfg7fwmnvraPGwJpMTf/BBI
AXhFKZRy3Evc81eDDM0TzUQBCb8HpEaFj/BbIOXwE+CxIPT/ZCO/BVI20B9gsA4/ehZE+UeBFACg
d+VCGlfw9S0F7RUAcjTw6be9C6TiGiABU1c+r8PsHu1HdLQjTTpWpYagCYu7SwMApshMnbM+cqtF
xsyf1njHlJmB/mKKLB54MeOkLGkTg2ETUhLmsu2a69ju89NylGAW4hVV248K7QZKAB1Nc3aJ0ewO
HddeBBYhFqXwJT4yAEgdXAitTr/t0nKl45Z6U3gecI48f4SQwv6b35YKdm2QIQOMWYvHeEAjKav0
lIZRt+rzvsfkVpi+yNi/KKGuX0iaeeyanTOvnz1iOsmdScI3JsZAZsBIBkOmRzexuwUoWMgz8AoO
kU1ExyiTrthH4gunps+RCHeaWCupFyCbMHNB1+DQihRH6iKl3uvlvMTgpsLoxjcg7QrnG0iS94Gq
3dSZk88kzHHyyMAlZ/RuyzadB+D0GuQf2f2VFWnlE8jJdBL6/irCcieVw9PKVL8mWPGEo3OjgBLB
MoayYKnKN1h9qJORl1D72OIiXwz+v4YwIFx+Kux+7A4UB4rKQGcMtCJ1+cIW3kC+G1wGDm0FKens
7mgY5HJKN/27XILNNQVBNzhuh8w71MLqqjEp8PWG3II1SKqpZcaT0Iwl4Kwx4k2UkWlmUYJKHZWN
1YHVFa3sDAUPrITtc0fNh2VMI3HSmuEhnTSHzazcqAWmw6hxe5dSQ+tpDIxHB5G+s2JQv8c4F5mT
0sTmme0XPy+sQCBQYCXpRoY3q40kWqRxmh95gKR8QlzE3+xzojVEbE0H0cQh+44OqYbQQnbUlOpZ
nuV0bAjW4D3o5URpCHwVQ1qGfUtJVGm+mbn/JYqIEMsGV2fVTwGUERfj0qGCu8RzmprpFyugeu1m
D4nnLmGP6kd6Kl0qdv5d96kx+P2yoZU2TSOznMrAvw7NuDjMzeSor4257mnngxKdQwcTvARKXHIW
3smde2skaHXUEWwJX7Juy9ozuG31xM1VUMJ2g9lTkQhYhXyVDPWRDNy0iMKrIMBcs4m/dnL5gL1g
RicLTNFQtWd2GTUzojigx3J6atgMrqFLR0jV60tTFpkANpQzarIncqE82uqozap6uMs1tUHkK0dx
b0TRp0bBfOjbwwhJdorG8lkXdw8+Y43sd461rxkUmLvl91qanzoUUkw7W4S+Vk1s4Ea13C2sEoqH
FHcFbTjwtVGIl9gQFYBYYrQFBuNJmCx3BUrGiR2eFG6pToM8iaYA+5awSb7ZYXFMoftWicYvilRd
cn/ArTk6nc4BLMfpyw3PvLHtZg7lXpvy5AQ70Cu8pb4NtZOfezpZFly7/kiKBukwS8D1pLimtVFx
rTfSxs+jK9tMDXIkYn1qvG516FpcZSx9Y4Vd2rx0QTOFmhQfJol6GcpqOrE1HTFMpRonUmZheJYx
iQc7bgk1rHMKSlQAuyyekeBFk95DMUCVaZsY8iMqzeF/ztkXNIrx27oF6SPyYsPHzpz4sz+PWhgk
IF4VdMR0Cg3vbE20A5pyxot8ByWn13NWRx0cnTiLphwigMI5+K+ChXPAv8syehvQ6GRO73/SloN1
+vM5qxtg+7BVcfgvbkXAOn6AbSDb05tFUSUXqZLr+mmlNmS3QxPICTiKoVMd0K5tCyrVyh9JLL+N
2egvqRJf63CzJpr1MLRwyfLGW5Us5yIPUo5UIwbRZp3JtVIIHjzWizkoSTdDAoISqL9Qc8ri6Byd
SZIbCTBePUV44bwa6ifJBLRuON2TjhbF3M+qaeNQfs7s4LjXEfbQnPBUyouLUs6MWeZrI9gvs53h
1hBPrKEENyfOoqZ8aIN6MSYRjoSq/SD1ysLvagUYoLeyrPosJbmltyScWYruK27vt3E9xNMwUq41
o7736JouHZuMVdE089wLCGMp9qDuYETlXBm8tYUdxrIyaOfYNFsQ5D/PhKQnEqvXoDCKCY5Ul70q
HyWysdHrZKmhBlrpwbEu5EFLSZr2gBZKp+a3nVUil/cNeqJZT+s/FQqjlXnvhA9aR4KD+Char4+l
Wp2XY3BnIE4a6TYEBE1Gr9QwL+AdkCAiZZr4AbYXtQSmQMI5k6rENT4EZ2grno3PSqgyJhyDUEc1
Cjs5DJWqgNIhrNplwhGji48LYXNiSD5E7V45Dn3U3vFPMReFh0BS0cgA+vtbs5KO1I52HDZzR3YG
K0N2kvN8AJ7PpmoflnmqLtGRhTiH5mspKuY55k7LyPLLWSi0Yc3W7edGg14shQu0YWFPlF73xUVS
NkZa1pQbkFEpiGfJKZYlotq9qtoY5EWUr6lu9TUatXo3YtWFbC0OvfjEq5K7ZKG50w7hNcjyZ75Q
u+3r8iHECxk05AW92EMvpAtiquFSRyg3qfWVo/Qp7qHmbR0WNKC9LxXSuqbQ2I1GRGgMobvbCgVe
7J3v0xB5Lk/Nj1wrv5Ma1HrjqruVhH4vfwqJXGj6ai3ivpKK2ppqUkZTOP0rcBZBlp9SYD6PdFCl
9dAjFoxqcNO33bwXQsJWBztcCksbmbAAlTZhTVpz4EZa2a9rF/9fucrJYUv4nVoU3jXRzIqDW61G
XtOmIz1nrc10IW5s11a9TCtgsBjo5KteUd2phtzZkHfoO0vggkLMKUYUkyEY+vMhLZBLUZOzIOVM
wffRxFBMSC2jueyivRz1BdGxJl/r2pE0fI9kcZR62Etb1VwTAs6+b81tlOpA3H8H4U+Fy9K/l6P8
1UH+We7is3wYqJAgUQosxZ+bA8jhISmu/KZax5CCJsFwCIH9SG8c2gRUJ8lKqUBglYihyPBdrcpv
ntQcd1l9GefSad2GsIZSOG+IV2sOtShF6Fkj5KfiwkGA0Qi167Kuv8MfSYA+d+os7q11UJTfwDrI
VNvwGlCFbjYiAzgu49cxwfzapsxKYVVxiok5lNWkRXq7xnUKaJAazNiQjysJfW6vapqFP7ZHtdDu
VhHxNv1+TR+NFq7Q966LCjqY0Pyu9GJlJkB5aO5DBu2vawPnnj5M53HvdzNg2gjppEbJostYErZ5
GpdgD7LePctijZpN4/Y45nrXmCSdZ7lz7bj6SusHbKBQT6cHE1+5eX7meUqx8Go7vi+7Co/3DsAa
qlDk+WJhG+EdChE18kVdtGBbJTlQ/Yc+zejj6sECB+0jNvSrQc/QqqfWCtK3ucRDR50EhgE8X2ij
03SctpWmIyiW3eCbe+S7JBkQBKEytJeBQY6jojTuBkRcVlYiuuPF/G3bXhtmaK/guT1Q4YTshpn3
RE1VHw/XQiIdkr47Oo4IEGWDpe1Il/hzP5gaa7uILZtUypam4MbwAsTs+0zG/mVSZsU9wg1C1RtW
RTL08OxUjE98mB+zjD3byFN5EQZyvYjr7KFxaFHlTCQkmRZD7RFt88onHHfltNM01Ax7cGUOWM2p
2QbmIaVhVA50LOB9qtdaZiAkpbe3/hBddpyJ0zoElB0YqFXD4/XQnxuYbrYVzZpQKFjHRHS5NIJm
1zGskKjNwXeAqyR3uCtEkBhqHCXS4cnIjAvkLjc9tSIYxOG9ie8ASnugos0mPVE0ZGfQMSdelhF6
sNKVrCiHdZyXU31Qm3lky9k9eKv4sBqLW01l4WP8cieBqYdJ/dQV8cJxw1sOe/k4MIEgc/4fVoF3
Tmf7Bo25lSZB10KmrofuQGl60LuVa2iQniFeZC2Nd6Al7Uy1rMegz6RZUmbetMjycTFk9pXiJsXc
MHygz2OfzvMcGY02btxDuRzWpsRkqP1WXQA0uelTjBlsVzoKPG9dgnH1ABCAEsvhLdArTK38IotI
+zJH9uaSYjzmKDEuAPZ/1WXw6WFhXsiN+SXTzaWbC19hT/seyp3FHkszUVVLf273qb8wLYR1arMS
drwD0y8UxMZgwKR2VL6apCH0IoI5aEl43hK7tj/giRZaUGpMKVzLqXoKyhy4RuCGlMLz46DFOhU4
+3IY9YZUDZpoI0erkILWNLBB6ss1dbhCJb3NwjKe48ry5HsSqaftlQsaAfI0S9p2lsmA2yPE6gfJ
vANeoMBKRdEjKaQbuOG3WJSgjxw406yLT5pKoRLX2DUeEBkWVLp/XZsQMNDlOWwA6E8T2bnFJeDC
i5EfpfiLOlEu4QSGlPpUA/DUe1I8oyJ/KBE5CWETmc549ZB7yUUP0N9jtDhCwA2aMsRFTCU6iqVS
bn43ZQBMms0hkFAfjZwIQ0jqrmqsPrZDeexwkk8Gy3hEzniJkAmJi6ccuamG5/FIxtqb0Z2XkIkX
PWmTjb5QKCVgoB5k2zshMMAeSoc5qDThUS5ISnkT4rMYoEJYwJ+nvPnVQzsFPkx4o5S0oUAPX1kJ
OamKUqHudHc9MRc8qBG34jxL50WteVPK4lTQo4LH0SE82V2pz8HN4A6cXdj2IEBKRTxl3X03VQvY
DUiwOS4rC7lt7vOWpeuXymXspUL2STvVzKAWcpXlhG7BNWYGBtBLRSO87Nmny/SUMgo8ABNjYrt+
BEoCjCuo74oePm/SyLdjHBz1Q3yj6lIy6yq2VEtGDZsijE2DmyIEJKYsbk7yqlykMl6e6KLB3Mrl
jFkbbhzBIGpNCjN9uhmTEqYUvFcP3TZVTe8Rq5jVVnibt1SZK6I8K2Lr8wtmpu9g+pXRcpgVjbWU
+/K76RPSWVmPJg0xXxuidgUSDSG3QxdvK9gMa9eOHsK6Odf1Aq2LWpl5YF/g9nBSasVqKKyr3lfm
vYErqltk130Fn1p3MAKQZoUc4g6mIXeN5tSgoSCB2SDkmhPwx4dNkE9jqjIwH0JlmBaepUaXcTqa
9wMsKPuskIA5XMZGnbezQZShjVw6+k+t96XWSwX2173zm4a2+WZLCspfvaWgqK5QFJXJJVXSPUMj
C3wDhyqYZEK9tHFjEgLX6Ne/ZaGaeUBAJJJNQ35zonqr9hoHUBgATFAe1jXKtMo/yULBgP6UhfLF
DqKQ3IOiI8Ag/4S+QDdQLtIka87GmHYzIJtvEB59Af7DS72NZ0MZ32Hgg7hr5p4Gpd3NDKXDcC5t
L5IqO7QcVBEqQ0URuC1mGK4fY/ZwOlhjR10ouKaC+dQSJELiaTlWJLDJbqeeYoxH1CKb3jSp8vO0
l++6EbRlpd87BQ6Mtu/oC1fglxxpXMS6JEG19+FwQajCTQ5uUh5+oXH+LR+y29YntcrqKkdf2fxS
IvCe9uld7Uh3bjoc+6Z1Dob7tI38kzoLvlWZTdjrWBelZjzGQLTmCQ8GzBqBEVWlTKhkX5NBHpBj
0jDMqkkZi7hbIZZyO6h5OUezf6HrAL3VEC40rO8YEWv7qfAhfdmxeVLV8U1Hiju10TM2IvsqC5wn
GqoXdCbxssSqayJ7YT13u+7Mztt7KryPbp19dQv1HOjVI+UMYLFR6c2btLNWlZVcQJRbCTNTPfS+
xSq0vDy281lngoLs8uyxUxx8OlCiSAZQ/DmKerMB8dwFeNxyCpLjBB2Ao0J3T4gNZ2OQl8QS3UIu
uyPPcVaealwh2/s90MONlZQ3GmV3mIr3iTfCJLO4SV6SI1Pk7jogkqpMsqb2hXlpttWp7/TfEVbM
Zgh10hB35WlTgsSFR3ane8aVXiN1bgfRje6p3xvVbMEJij83iOMpgN4nwOyqDJAVpCBijyaA/F6H
S9OMv8IqiahVNGdI+MlQ0ayYclttTGRdmphjtJCtHE0BW14WtQ9qK8pBe+W8NTp83VSlwk2IrRGE
2AsTmfWlWxFaED0dUZZAyRQFwQlA2SsrBlOUIjfJUQb8yRWJLrAJue6BRY1VCBKKGWdYnTS1Rybx
UPEOEzX35l05XmceMkVNanPitgtXbq5HWzsKOnqzloqbYlW4ILliepBtEz3WWX9vU9BCqCZ/kJUM
38XMnZYdhcZODqCXlIgxS/5KTnGflixoC7KcLU2gf4qMoUMlS84KOdIB5r+9ScLihMy1hWgZ5nQZ
6kPTG4aZ2tBE4FC5zQoD6giNbWZjggJh/VA1DplyqYBcHGlyU3lSj/U0Smc9rHDvMFYdX5tFUXen
2lHZzkup8oMvDINbI2tiwc4wA0NbmG4ipzcW+U020+ucArFTxpU/JS+wLihKBebFUAT+hVb03tcA
2G8VM4UmQqXnLK+AzAILmdodeHMQXL7leNd+IZOOOEZ/KccSrrtFoM0hV2uYp2J3OuttVM0PG4zP
SR2C/lnYSIuTWTVogHtiQAhmXyDFpKn3USfLwSndAMGfjX1l1pvWo+whMo5E7VDiittRBYPnG+lG
MadqZHk3cm3F1VfVbT1OaI1SPwdtYrrfIiPw9VNZBYs7iZ2+yf9Tsn0t2UIt+N1xSaiVpNsOTP7u
zwPTER4OCkoFqgJeUeZHbwemKh/gFaGYlqVS1X13YNpYy9AzlRUVG1JNUTnG3g5MvGX4Bw5N2IMk
lADD/gGbwhRaRT/x+3RZpkurqI4O5E1oJvxYtlVag2mRJcn5aPhHGoI2eovXb89aGukQIftN3QpX
6lM9j8n7NbTGG2UZ5PW5j4QvCjMz2LeYFUpkN8pRV+XrqNG/uhVQsLQ+7UcFGV99NfpmycGSDVPf
8r5CobvEVSmam0myhi9iTmk1FRM3ZmaOrIPjZAAoEUccEnZS42Kl+cdNk9knKYhj2xdweRK9yQjx
oHSiBxPzI81V6FHib4CsyiR3wvtOaYXlnHluUythK4EbFkF4P8cq8MnMMvJuvOEge1sUqdpIOcSe
6qSurUPNTW4oRm1Adp9C+RYI4ZsOXCteBN4S7Z5j0xCNpNY8NzLrKK5xvnd841aTpBnKj98631xU
LRtpqZCDd459oTsllDIAd110FnbhIpcUl5gVmAZqb2gHlNIdEiv5JBvzmWyEJ36JKfeYD8caGrOH
8KnQao9Gis6mkyyk0PnWc4YabXOi4894lheXwNkWCVnpYCnnlgFDQuuvBgU4dAjRUAOMqymg8WLp
vtXdOyRAF2ZDNdDBxWDF3vMQDM1tjjD1LBlpqSp9eDa0DB3WGZdy71LGiczkS6EfmkNl11TkPQS1
C6s982REKKBaTFCb7qZD01772NXyv4MFpYJ4Vhfpl4bbcAtkAKKAnBYhpqUR0G4tbQVB2wF4Ge8h
DCV2ONmOZ9lg03YatKvAxvyuc5/0glMxMM0bPTOvJGQ/plJtnjgJAU5jWD4mltTJg9K/kqCYGGCk
IHdSquqL8MZ200cbb7jUTUCERE9hWn7xHCIwUzWoo/BQq9xVOnjgnJIIDnlTS1UXmg70JrAg6GRB
BHutmY3oQRljBOWhXUUqxrpp02O7hsskiuL5TDfh0nB432d4dDsQFIRXAvbGMfUzzCnhw/UKVLmq
7Gl6WmDOejJKxC3zU9Axt8UYUXhrKFDJZIxZAAcIqJMN3RJBp7jMjmXYhSd4T8IUqO4D0zqBpHuV
tlkwtQLE8iRlHJdJSkEsxZF84QykiACLvuVpcW23vHij82YDWtVy4z65raTMtNZAocK+ajp31WnA
bBTXPbSI+CYGk36CW+yiH0HCl3h4YwMXoVzUEYWFBXIQ0jiswYHiFl1JVKwY0UktlUd1K83kCPeO
AUqJInSPSQ6WKBYk8yG6Qh9dgYGB89u4pmG5rlvzxuvbmygGXdTbF/RFIfp5I4U1lXKIFkhfBpu2
Qx1bc3+sF/7Qmkdg54kERbwE+4ginjSsea/DkV4Z8yxHoAnBWG2mSvpG7avTWJZOkfUCf2AP6Vwe
xjW4wtWQ18Y0M0GlyVYghEgtazKU1KzUortOrC5DwKBWlq7qERVqVCW7Nk5nXcMM5N+/qzGh0mDE
LvLSFJTsWLqiibGpEqaEbiYBibp1m5fFWRUDYQPXsslz+dzCjaYKKS1icqLPCYAhJyjhAqOS8sRV
5GWPJhKwtNE+LlIeGj9UAJ91+lVP4mxBcRlD1sDGhKelvgGRe+Xig7PKlGFdmFCPHbZGylGLAtEE
pJj107H2zysMVgnxZHs2BNp1FyYdqKzsoqjkZVjqN/nIXpkp14pXqNNstIkOM2uNOBuOUj7C9Tp6
UIFsTgy5ucU4RJliVFXM45DWTGkwqaPK/dqa49eypuxe6d7Ki6UViLZGqLNEE71urnMbg6Ay4v1q
EkBh2lXTznIxOk3ooJQxWwUqH75zzka39Aof1KBe3SBs8SVS67uyQNMjjpo73RnllaJ2CgVz1T8m
eoXqY/vGFBMzQQQvUFhRtMOyCq9TU1uOOTo3bqR87SLK/k4cLozYCRGFhH2j5SaBnfqlNS+76mh0
7zuaZ752SRNmQtfrC1Wm20BLeDVpvcTP5UzNaRbmsVKt5NDcKGz0QJ2dC+q6LG26lSsJL3si3zGY
x1aAd5quz3BuP6nyGIF0dWX1MdsvmmHjoFwjzXLsZ8OIOW9zZ9W0COSiPirqM6GYXxswvD0YJ/DA
0a7PnGCpFiV83TK4U4ZxCQI8PKHToixGqTx1BktagL+NFlrdh5ORjiIYGMrQhpvMu9w7QihVmlam
7UNDzjz6D3gwqSucfzd2kPinXVoj/Ua5y7DuQpADyxIOBvDDYhzOFIrzU7/iPVuQuVeeXRNU4qfK
/nXkopx3rmglRrGjNK7cqtYPMSc5gy5l2+tGH4bl2INP93O7mHN4hAiJeovEUE7V3DhkNzoySbgj
W6e5WNM2kkpd+wIqih2iLei/VdKKKtSZrlfeKvXlDbJvG/CnDxw5IKL9fjXI1I5ti6KkzKNzj5Wm
ZLOoj1H4BFJkeP6STA4mjwvlDLnTe79P2uWg1OG8K/w5yAaMqmDkmK0kWHzmsSeMAh5q+UjR3Suc
JVeS1KkQk0muc5w+gyZRpliG3jL8nOJKvAHZedSChljkKPKUlbkM7aoCr2qlC9J9UqlSzqGiQYRS
iu4+rXvaXvG1oQ8zMzZu8agikwhpnowR8m3mogzABLNOaCH1C6XOMSPSH9lcL2qnS6cAg7DYMYsr
vKsWbHBYr+vCOVQBTOyD27bAU6VmDa8sTM4tgOaTyPVRinGiYV72NfMBRwp8/UYftBF2Qj16Mbmp
V8BO1fVY0ZyLuw610pDN2TbPCHLvyzI/6a3YotwszRWE0ozOBpoV0tdBEq9oj1m5K0uFXE/l4jYH
Hwv7HPV9haM2Uk4Ctz524+zOyJV7aAmcEal1V6n9aUb2g5qUQzdZQifLMbwvlCNSXIniwzE4KvXy
lL7MIu9UWh+BDbQs54yWzNsmb0/H3p/gVfUQ68ZREdGerLThBE/wZjWUA3XW3jxNFBuj5ISNUIKX
aAQ0yQx9FWXqSSePx02pacgIgGY3ESgIuyS50GCs4T1mS2gV4mzb+nh0IEQlQPsq3ewkHaZ5BUoG
UvGq0lW6znL4YHXEMHbfXFg56FWnbLOl51TVSVIgFFFoHSRdy2ZTcpdR7EpL59nIQ3029TCeDT7M
WjoyAzw/TD87dJ5tQOJnS5Dx2R7k/0v18pV9P1vX63lKh2i4bDblcLWpSKGrtyxF/PQio696k/17
v/T7C/2xef7mmyHf/Pd/rZ+SIMV5ri6Dx1pUMZ9/dvj03//1kuDJP9dDn2/s+a5/e514zdM1T3yD
RtFTUTUdfRR0EPhQ9Yyz1Hv9saQIuTpDB3cqBO9JJn8Yo1+Nwu8f8GU4f/87v735D4PwMwD4Hw8C
KCPLoL6rUnF9/kCLej8IOmQrXcMT9WXA/48H4ceJYFCt/inL/zvPzwP+NQesA5VXbAJ8kp8/vOl3
j09lnAqACghLeRmfvZwJYgL/GyPBG303FHg32ajTILEuPh9mgnqgUu5gJuzlGBg0wHceA/UAXWXb
oJ3xMh0o+byfDsYBrEPDUCzEofjs7cYAhO9d+evvLIz308Fh3TvkSwqNH/ERP323O6KuhRAAJmLU
pfZzd9x9PiBLKiS/ER/9+enlAzZN1dHw+BWfvZ0IHGo7TgQ6gFQ6mfOvOyA7zbuJwBZp2Qil2cre
TgRajTsOgn2A7DoclF/FCmIQ+CBD87Ly/o+PSRbrz7HCBxDzP94SdOY8Er3Amqhe/+KEcAinwCbt
7XL4uS3wjwdBs0VTAHVU0RMXnw/7Iq0BjJcILF+Cs/2bCfLLOn3RRfgzpv9HoTPekiJgxDzlZSZ8
CJ1V4TCJCJXysv/s3yC8vp3dBgEgBcrwICeeP0z6dxsjIpN4Q9soTe/tTCDG23ljtOAz4OnwMhFE
HPp+ENg0BK6DctzbIO1nsLB7AE0+KbRBUQX8eQxYDUBvLM1gs9jLpxcaFrtNBHE4QCLV9Y9Pj3sd
7FJEVV9TzH0dg5eXs8uOgJCIjKArFjGvq+GniaCIw8Mxof/s67b4GsPtMggOu56GoRax8fPnwwGp
whI2FKT893VbVHaPEowDrAdEaell1xP5wbttkXhRnKCIzbxswXt4QH7GcsDmAUifQDuIz5YogdQK
ApuztzNh9zzaPOAdUzfRqVY9fz7OBJOfUWTc15kg4KC7HQ6acaDa0HscdLjfooB3y0HgaVgplFpf
juH9Ww5CfGC3QeCE1MkfUf1+GQOBJ/owCEKGFTztvh6Ru8eL+gHCKqpmvy2Hn/cEjkj0u6i6cIKI
z75mkq/l8F0OSgvPGxMusPkaF/08FCwKJHQdRgKc1x4PxWuOt8tQmAfk1ITH1mux8efjkqEA6YaA
mxBT288Ievf8AXy+0G42UF15/nyYD8IBlbauJQ7SvRwEdec0QrOETB/zALzl26R/t0kSODkmBrC4
Jrwdp/s5FC8b1y6LAvipyCNQANg+FKpGiR7mJiI9ezofhLvWboempuO8KYs5/+vqM9Q6TafouN/z
Yeecglat7jzTY16f9EOZQT4wdNqZZBV7Oh/U3cNpwgOK7H+emR+6lOwP6ADYSFDt60mh7RxJskni
U4fsB8/5NunfbZLPfrUyoHVhh7Of2+PuNWjzAHcbUXx9LcR/CKeRMAPiDkB+X6tuAtG/4/ZIX8qi
2kSl4edkAmCHRRRN6W1fp8Du64DNwCG1Jnd+OSE/TAEgCyRUaP7u6xR4Lf/sFiaoEJgRrH6NnT8M
gkKpiS69vrdVFgSXd10HGl0Gmgy2+QssF+RXhFApNO1vQrl7AoGRC/YqDMMrmGnbTBBUXYSe3o6N
vTwcNG58x32RSrxBd46c8s9HfX9CEkzJOJore9ub03aPnUmVkBCjN/caO5MmvB8E+YBqE4Rr7eUg
2r+qm7Z7EdqG2g52g8rjy0z4MAgirBb/oVwvPvt6XAq+/o6LQkMAQMYF6rUn8bEpQUUKWAOV6H0N
G1+xZjsclwLwqgk65xvMkUd9vyhUWJqA/Kg37WngJGwXd5wJtGTB7qHV+9qj+/mk4LiEVCpzmuzp
GHzwSvt3gDzYJJnEj7/KHwCDKiQQ1KP2dBBet+0dVoP2/IxwS0UI9m4ZMAMUU7OZIq8n6L6Owe4t
CequVF11lULT8+fnxQAPAMdR/ESclwh7X08IffcIkpKjpqqg214jhp9nBUMBzRaUx97mEq8Vj13W
xHMJGsnxt5n/IWIgq1SxAkKYbk8XhVBw3fmEQKGHpPJXCD9RZ3NIJUx5X5sRr29nt5kgOpEAWX7V
oVMOqMEp5Nb7GkDrO6dStK0BNXMUaL8CvKoHnBOIEQvkF7Nu/7IIffflALYPNwQgbC9JwrbePT+k
UQHcU3z2dmfYvegm2lIKdABK7M8fUrR3kYOgzYHtEmZb+zofdq83IeWiY41rYCj2q0EAGg6QAW3u
/VwUxs71BXYGeFAmeI5f9OZoQwCDp8SivERWe7sodq8ygPLSkPwByvYyH3jUd4vi+bgUZ4Wxr4vi
9cZ2Oy6Rj0eLiDbl8+fnQQDFwRaqKGh6/P1F8TeOkz8JylM/iJ/mgikcbKptDOZf/cIbJ/fjz3/g
0TzzTd/9pqAqv3z5C9tG/P9/vWcuPx+HP/z07Xh8/qbXv399xI9f/u7L3p7r7R9XwaZcl49YeTxT
o19v9GydwG3+n5j/elr/zAISxfG3f9tOs/4zavz91ZHw37xd6AdONlvKX4/6kcP99y6erJ+y8u1C
P1yc2bTzxSfYgm+7cTaAna89XcfrlldSvV3rh3tnvu9+fTTLqg+vlHCD6OYTLp7WJe6bWVVv+wrC
252/YraJ/zjLyq3jT1Sy8/Xn8R+zrGTyvF3rh/Enhdv5+otyU6XbLs4Jv/PFl/EmTd+u88ONf8Zy
XTXJQxY/1R8vL2gfO9/6YZJvymAdv13qr7sXhOzdL4/i+9tlfrj0Z6zY4025ZcwFembnuz4OUm/L
RqB8xlo9WUdb9jDB3Nj5tk/WVbXZNiafsUBPsuqP/0m9TbzZNjKfsURP109swG/j8MNs+YwlerrG
6GfLtT9jiYprI0215dYFpHLn13q6SZ+yx2Db7iW0TT7h+uXj5untQn+NuwBJ737xjHt/u84P1/6M
ZXqabR2Tz1ilXLrelJthy51/xko9W+fbZstnrNOzTbv+GDsaGKK/PcsOseN5uWYLeLvQD6/zM5bo
Rbx+3GyJHQWrZOd5eIGa1rbgTjTqd774VUDoWAVPW0ZGNH53vv71+rEkJUjrLWepaLJ/whekf0w2
6EZv+4LPWKrXa/EFZboun7ZuZKIr+ilPMQs23raH+IxVKx5iwQp4DKrHbd/xGctXfMdRti6abaeV
9hlrWHzDSRNUf5w/BFW+7Tk+YzGLbzld15tt1/+M9cz16/Ufk3X5sN4WMwjs+mfMJ75jijnDls1a
NCg+6xvKZny72F97qv4pC9tfb80JRWdh97unhrF1aD5lMQdVhClf83afPwzMp6zlLF5vix4Eomz3
gSEwSbbNmU9Zv/U6Dap43VRvd/rD0HzK0hVlli3nsOhQ7zw0Nxt/vW1oREF794v/1szzN/qEf6u2
9Vublt0v/ltR+10v/4WxbbatVdFs3nncv2bxln1eAOR3v/SvfdB/PybbyrJ/tjc/Fmvf1B23/dn7
WrT4jcd4sy7/9b8AAAD//w==</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CA2FD8D4-EFF6-46DA-80D4-503773AAC05F}">
          <cx:tx>
            <cx:txData>
              <cx:f>_xlchart.v5.14</cx:f>
              <cx:v>Amt</cx:v>
            </cx:txData>
          </cx:tx>
          <cx:dataId val="0"/>
          <cx:layoutPr>
            <cx:geography cultureLanguage="en-US" cultureRegion="US" attribution="Powered by Bing">
              <cx:geoCache provider="{E9337A44-BEBE-4D9F-B70C-5C5E7DAFC167}">
                <cx:binary>5H1Zk9s4su5fcfj5spoASCwT0xPRJCXVvnt9YchVMgkuAPft159Ule0pUSoP60QrToyuuiembSmh
FD9kInf886H7x0OyWhbvujRR5T8euj/fh1WV/eOPP8qHcJUuy6NUPhS61N+rowed/qG/f5cPqz8e
i2UrVfAHNpH1x0O4LKpV9/5f/4TVgpU+1w/LSmp1U6+K/nZV1klV/ua9nW+9Wz6mUnmyrAr5UKE/
37vLRH7XhZLL95vv4T/f/5Us09Xj8p2ra1X179+tVCWr/r7PVn++31gHv3/3x/jrtlh7lwD3Vf0I
xIQdcdPimFMinl7s/btEq+DH2wbC+AgzbDEKKz9/6yWw8iaOnvhZPj4Wq7KEX/b0/9sLbPwMeBp/
/een8LB+GmsAAsDiz/cflKxWj+/uqmW1Kt+/k6V+elxF7+r1T/1w9/Rs/tiE8F//HP0FPK3R37xA
efxo/9Nbm0D+R5AzqVZ7wJgfUUFsimzrGWM+whiJIwYv22bWGOSpHL2G8Qb9JIg3KA4MYW+VvLvU
oEr+fpAtdMRsizGM+CuCbB1h0yIgyCNJfhNTu3HeXmIC1NtEB4b2F53ovx9oAtLMmCUs0x6JMYYt
wCyGEEWbYjyVkd3gblBPwHXj8wcG6d1SvZsXS/Ugywf98yH/Pccw46bJOP8hvWKMLT6ywBSxOYF3
Xp7DGxxN2W27Qd69zAS0dxMeGOwXy0JmutyP/WVxCzObY/PpBaK7YX/B2SyoxThm5rNe34T/LZzt
Rn5rhQmgb9EcGN5/pctHXUyRpjda2/yIgCltYg6G1gbM2ATdjbEgpvi5DV5K+XSGdoM8op8A8Yji
wAC+X4XLdA/ibJlHiFFq2hg9S+sOPY6JhSyKnuV9dFJP52s3ziP6CTiPKA4M5/XpdAHu4D7sMHYE
mpsx8KxeMbjBc8YcgaU2AvlNTO3GeXuJCVBvEx0Y2k5d7cO1IuLIRiC15mv+Mxjetg0ijfAI6ckM
7UZ5k3wCwpsEB4bunVZ6HzobHCqLCCoYmFhPLzI+m/ERQza1QNw3ja/pHO3Gd0Q/AeARxYEhfLF8
XBV7OJUJBRsaExvM7GeEx0Y2WF8mJYAvGnlX0znajfCIfgLCI4oDQ9jVSb0XN0pAcEtgAjHOZ4Qh
xrVpX+Mj0+SECguiJi8t6+kc7UZ4RD8B4RHFoSG8TJYNSHG5F+8JgRwjzH4o6i2QzSPK19vAoiOQ
38LUKzhvLTEF6i2iQ0NbQwJmrbHLah96mx+Z63A2IezZxB4nLiA5hUBt2wzBO5tS/Ta+XsF816+b
AvsuugNDfpa883QBYZK9yDnDgtr4R0pSbDnRECwRAgHw9Enbj6zuN7G2G/ntJSbAvk10YJhfJzXk
y/cAOMQ4CWUA+I+oyVYS2jwSFhc2+Nqbcj6do904j+gngDyiODCEL8DH2gO+/AhDcpnTn8mNMb4Q
5IZQCRcQ497Edyo/u9HdoJ6A7cbnDwzZOVRf7AVbesQIoraNXol4rosLuA3/oJHsTudoN7oj+gn4
jigODOFFslJqD8IL0S9s2khgMKrHPhUSHDFwrDeldjInu4HdJJ+A6ybBgcF6J1fFXoIigCs1CZR+
Wc8u81bYyzyCN03Q2s8+9cjKms7XbpRH9BNgHlEcGs7LhwIq61S1nwPYZlADZoF3/PQaH8AQwYY8
BfwDUe71a4z1m3h7Be/tNaZgvk11YLjfSgiXlPJxDzVhhBwJbtqEPLtJT7BuaHDEjggEUzBiI7vr
TUztxnt7iQlwbxMdGNrHdfpNJ4/V339OQ+oZLGxkWdvntHUEJWHEBG3+LP2bp/VbWNoN9dYKE5De
ojkwoE/SbFXIZfL3A00gHSUwty2Cdh/cyIaT3QaLHCpNdijzt3C2G++tFSbgvUVzYHjfrXPP+ygZ
EhDixBii3j/8q60YKDqi2Aa5F6Og93SOdqM8op+A8YjiwBA+Uf0+TDMKDRgYPCwo6f2pnTfPaH4E
yFMKpaGbensqP7vR3aCegO3G5w8M2XVhjLOC7pE94WuDfEL6eTe+a9PbxCac3GP5fRNXu1He8csm
YL2D6sAQP1sV+wiV2GBOP9UJ/TC4x3UGEAtbJ7RAoYMD9jJfNZWf3ShvUE/Ad+PzB4bs5TLbTyYS
Q4GQBafwbptr3SbH1z0ZfBQLm8rPbmQ3qCcgu/H5A0P2YlU8QHufu4cWSGJSQX+lJ7YsLBMqPZFg
iO0MjkznazfGI/oJKI8oDgznM2i73UeSkR6B2gUZtl45iEE5U3gPRHysnKcytBvfzd8zAd5NggND
93wZ7yPSBQcr+MOQPyTP+nmrNAgfCWQjytnIyprKz25sN6gnQLvx+QND9iMYNPVeMhXQuQp5CGK+
Vga0Th8LiIZQc+QivYGl3fiOF5gA8ZjkwFA+X5blag+2M4QvLWhQ5+JHH5y5Ix1F4W2L05F6ns7R
boxH9BMgHlEcGMIX+lE//P1mFjSoW8KEGh5Enx3hrXSyeWRbGHosEED/0jmazNBufDfJJ8C7SXBg
6J7r8t1fKlglq33YWNYRtL5hwn/aWGNTGkElkEWgBxKO6h2h6TcytxvvXYtMQH0X2YFhD/VNEKNe
9X+/cEOHBWUwloCYr/XQQJQaWmgoGc+ReQtPu/HeWmEC2Fs0h4Y0NKzv4ZCGaUGCWTa00fwozR3L
N4RBbILgiBYjS2zdMT6JoVcw3iCfAvAGwaGhu1JwRMu9lPNBummdiGDsR6BrHMLEBDptGCVEjMyw
i7cw9QrKW0tMQXqL6MDQvlw1y72M/gKviWIGftWPnqktixtBtBoaprYyi9M52o3ziH4CyCOK/wKE
f8/ixk9ejwX766fJu2OYzNtHuoEVTalAz6Mk1sVcmxlFCHQh6HZF0O749Pr53c+T3V7OoXs2w3fx
tBvZl7Qbv/H5J/7+ofzXDWyDPBm0PTnL4ttyT3EPmPmzPkxfL62mgsM4Cehr3AHkm9nbjenuZXag
u/FXMLRwN+Hh7YF3p3qZ19PMmzfOiwF7C6wtC8M+eHrtUNFYQEhbiN01upBCfgNzr+K/tcgG1LuH
NQL6W2QHhv0VTAIL9hHNJlDhBe1tnL42sBGmdtowKoiOC3Wnc7Qb6xH9BJhHFAeG8F243EtnK0Q7
YdgmJZy81sqMjwhHJufras6XwbDpHO1GeEQ/AeERxYEhfJ0sH/ZSt8ePoJ9tLcU/rLAdqhtqviBr
gZ/P7lEF9nS+duM8op+A84jiwHBeH0fntSzfXX2TZbaPQi8bslSYgsMEgxzXr7HZDUNGYDKYCVOC
RlD/L1jbjflrC00A/zXSA9wFDtR+LYvH/YRPoNQeMpWIkx956LHUQ8cFhjIh0Awjtf5U7PcWxl7f
Ajt+4MQdsIPyADeAJ1fBPhTA05goZkNt/tjhZtCAAcc5/1kDuo39ZJ5eh31ziYmIbxIdHtjrsSTJ
frxz6J2CRBYUnPzoqhmjDoW9ULONIH42anwGXfsWtl5FfGuRaZhvkR0a6tVSyTJZ1vtIcDKoETOh
45m+VmcEMVNzneJkowQI3ErwBq5ewXx7jSmQb1MdGuLPAlXUw14ym5DyQpb5s2xhS8xhshjMrjDB
G99S62tRm8jVK4hv/7IpiG9THRrisoxlr+u/H+/1PQoE5qzjnxeigKG2ET2HFCcF+bdhYOAI7zfw
9Ara4xWmYD2mOTSkdbLcS6JzPZMGvPN1zcJudw3k2hIw+2CrL2cyR6+gvEk/BeNNigND+B4qA+Ay
oz2IMnREQ8k3BNB/pEcgYz0W5XXLBqRPwFd/GWR7A0u7MR4vMAHkMcmhoVzD6M90L9cbQZKEg1MN
WZBXJNmEWCpGiOORxr5/A0+v4DxeYQrQY5qDQxocrn1kRaCBg5jrufmv4PxUBr52uewtnKdy9BrK
G/STMN6gODCEv9Tf9tFjty49QjC2AMbAPb22ejhgzDr0b3DIm2yq66n87EZ3g3oCthuf/79A9vXr
6X7d9Octq+Xs6Y7AFzfU/f7dp4cDdxuOSH+ciztKQH41Op48/vkeqsWIDYVEL2pV1gttnqpPl278
hG6TagV5tj/fw3WDCG5Iwev6FQKFD2jd896ufrxFYEg33J0Cl+GYGNpsYRi7grvUwj/fr3sHbPDB
OKRMYcwRVCC+f1fqev0WzO5n4L/BjhLQ/EUswn9d4nitkz7Q6tdT+fHnd6pOr7VUVfnnexih8f5d
9vy5Nb/wC6GwBpq54bsgzEcpg4eQPSxv1x1i8BD+n0qgnCoBNq4aEcalFxHyIbDN40gp47ROghmq
rMG1jaZ3/KY+6doeOTrFdIYacVrZMXUzQtA8iPp7buh8UUdp4igkE0fTdBbV2UOAO4Scoao7f0Gp
rg2PGPXHkg/WbZ9G7YIW1D8PrZ6eRB3zaI6Jm7GmuLCxVTt2gMN5x9C3yi+/m35dHWetuixwhKRL
dRnPZFff9qi7YU1Eb/IsTdwgbrlnJqp2Ck5TJxGqcIJaZE4vMuGkwBXv4nkU1MYxipg/i1LJHF7L
R6RwV3tl40unUlFzTEs/cIJs8J2KxIET+wpd+TjSTlcr+LtQqGOGEuRk8PWDTJRTMBPBt8jCGYjg
TkF47gnSXiTMv4p0eNopfFwVaQ7L42WVkPyMBn7m6KqxncaPbrVdujHVZ41hWk5BSeTKNO8XQ4ik
U9TFjNd56BYh9WcmNz5kQ3kniuI4C01+YufDddHGvQeFNZ9Izh50oS9zZDOnQOEp4va1Xfn3QaMi
p20Lr4nF9yKzTsxaXNhlW3q4NKiLlMUWWaI/R21ySpX80kVV6fbC+N4FPHTrSsxl0ny1lVhliuUn
yAqlG6mKO4rCY2kSkjkkDMJzKVvmxHkpv2Klr3kffYxNljptqrWTKLubGVy0s1SrwRnK8hNtyi+c
dq62sJ7FgaydPpChmyX5R01EPE/NxHY6TgOvNLt7DdAnCW6IKxuzmqkBNS5NDO0GVn2dlUnqmKyN
ZsVQP1hZ9bkJ48c0UNbcJ+gx8+NoHnZhdap87PgGJ/NAsWZOO+K7Q14G8PW4W9SmKR3Tt9LCkSi3
vcwiJ0YtxCLgaeQSrkEQNP/eR9Sz4vIbydrQEX7LZigqY6+m5fdWZRS47VMXZD9zMxUnczkwh4a+
cFghhJtLkBG/04nT6HDwfJS7JKmI0/bNImio8ELeXZHGP8a2ug47dUVjfmIYcl7jkzT1/PZCwJql
Vd1leVu5tGfXcUo/MZFexSpPnJZEvedH3SJGyDVzCcM0q88sCU1Pd1Xh6CgTs5KJwtWiEk4VqbmO
swuM60VppB/KoD6J8+C8SrP0GOHSlbi/xklzbNVt7LBWwG7vuqs0wcMpN5MvYSkvbZoph5otO4ly
do5FeimrbJEYpHJ42WNXx/HgUFpJLwgRd40AyZM6kue4lucozb4kqMsd3pa1Q5H/wWL2p7oor3Aa
W4sw1sLrIkRdO7Rsr4ArZZ0wYLFj1NUisFLlCDp0rtGnty31Pw0+8JdndekMkoDqAbogTTonqBIv
i+ITfyhWuSLWDA9J5uQCH5uBHtywp7Ej4LG6TRV+wj65qVoSOETW/ayJSsuLm4Iex7n5HY78M0vK
cxmGzOmSlMC2zj0zlV8GSu59H3AvfM3cvEoMJ47Qrc3FF+RHqRMQdYONrnXQwL9TUS+qweidXHF/
hsvmpgjrha/wfROWF2ZjBA7L+KkswtzxWXqT5MrrmDROwzb5IO1KeWbVndKez5og6Z2qw7Yb5Uni
UtXGs8TqtDeY4cWgWsOxfd15RpF8Dwb/Ps8C4vQIx/DjwmzRhdFjkdlXgUbKMXk7eBZc7eUqiByf
tYExHFc8m7OWBc6QDzc9Ie3MaKrMjUVw1xE5q7FxLPzsTIi0mVtZcQrTU0M4BcLAzfO0X5CW1m5C
tT330/5zWpjzKjCXednJRYfD2uVtc0nr9AO2m/OBaSDFcmY11ryIglmj+ZnMiuOo9KvjATaR2w5U
OrZlLnqGHgaUXdgB6OxOkBmNwlmOilUVyYuqy5dDF8yYBOks+9qF0oUvmivPj3nsdK0/82PzmFWg
TYNqbjWwCUzQRwROCiYT7tmxStyuZ/dZLS8Gy17FFShKSaieNQk7BuHunGqQF4i0hdOV4qoQQ7DA
VvsxgX3r8MSKQFCK0G2w4YCg3RR20ziUDXph9sESzs5ipmVYO0bY65kJM++uODf4woCx0ouiLD7L
GN3Zqk5cPYgPiFVfojj0nQL0glNWsDUSliHQIGg+YP6N+LxbFKKYA3/fiijXjuL6sfSHxBERajwV
kuFSxZHt+Vl+DWfeRWvBe20WnlVCWU7VFC7JDD0Taf3o0zgDLZo/klBdRZEoXd/wY7dq/AuU0dqx
gj6cCy0aL+gqy/GjOllLWe763L4MmQlSBpfiOobUc10Hx72dhzMGetLwQ6c11F2vh3AhjehrzLIH
u2UuCdN04fvxAuwIwMBv7pCdITdvcnY6GOwkq0I4ipUVuwmYRq5EQ+9SA5VXYrC8oE+/x2asXZ62
Vx3zE6c0gnOTyNQVVfadGyqYQWDsS6sNNDPy1IaV6DIObdvJAuOzmdf+TcHVBWjzUvgXVhMuQmnZ
hpvUIT8xq1jklzpJdEidQppB4EQyb4YZVJrn4fnLG5o37LMHnfWFDMIf92z/+uO/7nUK/z5d2fzv
v1xf0/3vPy1Wel3ZXI4/tLajf33q39c+r+3WX3dAj6zh57u+XzGVf/vmm+xoBLbtr2u8t+zop/kA
22b0muinGQ2usAWNOnD1GIILM0wBb/0yoyEaArekwHU3DDqyMOQmf1jR0MMFhitY0OtB3evp+0D0
04q2YbYg2ONwuzDM8V4Xj7/Fil7XOmwa0esbHSBlIiC2Cok0C9y5l0Y08knVxxmDzT8YpPiARZik
ylV9irwwNGqwL6MSy4uSx+RzpmmXL8w2uTEN4gqTJKlXyK6SbsVMnzo9p2V+kupi8HrWENup7TIi
s7L0T1uSgC6DS3qH+Ean8aesTW8pCr92La5cRshlT+EYspQtZwPrpBPk4TfNYN9iU2EPJoKETm8a
blfVC6Gi2E0xWIwtKe9C5H/OhAJloM1o6L0kTIPuY5zo0k1lPSwau4gz7YWwKnV13VfqwjJ6etyH
0bG0pD/HftLOzEpJx1dN9g1Hw9cALHK3oqnvokzNQde3rk6j4zwyjqXMK6cr1DeTFBFYCD7xBiv9
IAPjAV9kqr/QVux1MJnIFckQu37i36Oc36TanAkwj6LhBlX0Q9uA6ciDmaWKXFz8/yiIL0XKhiEh
v5PBl40Oz5HjJ//wieqXEEIx0LoV1oQrt204w2HBX0JowdAvKNkGk4BDo8b6hsCfviykHdBaAs11
dwbc5g0e8E8pXDfXwYJgA3MoHIU5Um+RQgTfMZJCuIQSJmJQyICAz72uUngphdVAdJbXdXepWiJm
TeuH4FyRiMVuzNrmhhp2fxp1jYpnphlXXyptNR9iqwSrsxQq//Ti6f3Q5C89623HGm65ffLRYciO
ta6j2+TGUn0Wi7BuLnGu0GUQD+A01kzT0O2aSgunaa36C2syA5y7lFe5m0cFuJn+UDLLhUpM9Siq
yryCNcLaw0mCPgy2wdGip7a/Qr2BuvnvOcagDsfPz4KmVwgEQI0+DFeF2MfL52dJFgK2fXVJOjsI
PNoNyYcGMkpkXrFeg4/adyjyJPO5MzDaS6ePTbJIm6JHXtHo6jHsyhK50shsr6ykbpwqDc0G/B07
DmaBjsLruBanaSnC0lsHOD6WYX4WJy14hBIc0AswdJt08ftftRXfgGAJNPFCsATODUqefvSL+Abr
jaA1sqS8VJUvPuqAI+xYMYatkam6u267QtxlPko+//5r13vtZVgF+sEh2MMI3N0EraWYrNl68bW2
2QVWVgbqUvEBXaI4rC9VWbiS++HH338TiM/WNwmYt8dgkAREGvlon2XK6oe8CPUlz0xrmbe6SBZ+
xXvsxFk4A+smGVxi9ly7EbHb9D9tmvWm2PyhsFFg3KMFd1TBTN7x10OISoaBSuUly2N7mUa1vYRz
A3iwh7Sc0QJc/t4E6BdtkrfYyWPNVlUiypNW9NZ5R0lhuqSNdOxGTKUfSJFhAr5v368yo8k80xhS
5tpCW8WxTehQO79/eus7G8b8w/mP1x1HEIiDmZWbQJm0tpVt+8YFqv10KYuqDBxkxBXYxKTvVXDa
hjL+FnCRnXdDHs6ptjrpYtSw7xUbBu324Ii6lo6alSwIe2zsLGSnv2fSsrdAhkAfbKJ12g+6WW02
MjBowaVZhBW5iKw88wX3KhEOi67qiJhXTV27RZebN03a27UTglPqFkgtSlyA/21l2I2TPL3NEjvt
HJa0wac2SvVJX1aVk9l59oGWMff8XPluraNIOrIiUQtmfaku28wor3JjILMgQCJyjMFXqYubMD22
aZXc4ii4DnpFOiepWX5Z+fl9hVODeLTB8CBlj0E3WPUwOGbLo/MktPkX36yt05BydD4EXSPc1gyt
FC6Z6+WJwYseAkU9HzzU2oY3RN1DVubVXW0aDJyHtGJzv8zrE8vH+D4PURsvfGZAgGwIY/8b1LYV
jSNVbnytU5aCG1Lik1ir7ATlInmUTUZB7kka30nhd8xpcis4LfyidsFHyRbIwuIqb9NuZrVFPkeo
Q80sgcu6ArdpA56DKxf6s7QkhVdn4ir0jcD0ENLVMRw1uHWVGVGHVyz53KVmeIYLkd3ZpLIXtYgM
PC9pOiw51cUM4ljRMG9iHsyNrjOXuEza72WQZbY74MqsHRXgJph3VaRBONp21gdNzeeF9kMPgkTp
sYKPQszDKjQ86LRhTlRGkeEyCEI5TNvd4FhV4rukMlS6KGg8g+BYb960BFmeLAszcSLYSdWcVK0o
F2Bqdec0HobEv6nbvEpTp5dJr4rH0A8xHr6UrdGxFIJcBahy/YAhcFuRwqmrus7Myyqu0rg7FTIH
S1HUlX+SFlJmToQTfWcyg5xEEDOo3Row8J0+N0UHcKWce8r34TyskrjNZzRuA9Mtkgr5V2FuUqaP
4561odd3iajOaVkR2FGtr1HZujWchXNqhJF/1YDoUAg08IzDhiNxmc5VIgvhJDkcXv6sayR1DR9a
Em2n901lwd1vfpq6oahbf94mLElnpQ9WwdxWQTq4fLBBYyocW7WbhoUBAbqyD8rrUhppOtOB5N+N
umHS9EyNq4W0eM0vbcMP/FNFWMXsyFVdmQ89hAhAu4WzLAhZOvPLZsjnoiiVnPcJTftjsyzTzLVx
n0iXdXafLAqZS8MFWPEnI0sH5EFQIE49+J9pXCWRaZTwyJX6FKWpSE9IIapkFocVvR3qipB5ZGiM
zsI2LJlyWIjDauEXTabu4DAmp1Ew4HheZ8DBTFdJMMw46gbh8qjP2ouU97C1DRCVAmKRqD4tiG0n
XuCToPaYagBOyUqwT9QQkWGVxHABrceBgdQjfRpCMNiU1nEgGWQEcBznxJNa+t5Q+7HtGG2RievI
byPLJTKPBifNosE4M/3EmqPMD2xgV7Bshvpw0CehRC1EYoUVts76cw4SUijYPgHJ3a6VxgChLml8
LWC+cW84EuQIX6JByUE6vLEMct8nLa4vaSZ67SmRVxd2reBICkoWA4FICTwtX4ZIfRlQosLTvIfw
4Lxs7UGeoSqo7q0I20u781Pf4Qg277xWHQMnjA4SmK9RlHoQv49LCF35M4lk/iVpW7AsoiBq7kqb
tt+yIiTHDWsDf8Zj28QQj/FhHTvRUTdXRYMuhy4j1k1Z2egeVQZ8oqVGyd0K9aybNTiN5HHRYdye
KBaU+EoaTHxUZr7enFGUlwuWlGF53fVWxSHA2wI2YauAMQ3BVnQGJ5j4SCA2m85S0JLF2v3r9EkF
IQ58HRV1HN9iroR10llRW0O0rFobn2HfXduxQbuZblP4aq2HoXE6nFbDwozZ+sevWW9BPwFfWYou
LRsCqTd1bsOjgjBtPLgibkB0siSI5Y0qGIh8UYNVEMB7oFNxpcKrHFl9oRwCuQuAuy26+iI1wqx0
pFnn3byDoSxk1jc5XisNECYXfhEokE6gtZ1cqfSjD3ftnfJGSu7w0I5hX/QBXbaKABtdEfW3pOrM
8iwAMzc60xB/j+44nBaLUpnoMhdB/gVmGNPcCSGHgU81D0R95oc6aLy+YHkLBm5PFhmGx+pCIKx/
iJPYvu7q0tTHudk38aeWpkF5nPpG+r0fxFqHyDwJPfADOJlBtDws5xlNxSfD9NN52mZB7jAL1Fxf
tOGt1FV5JtJ1OM7GBQ5A7dkWHEchFh+LyGiCWYIViMkArrE4sZRG+SoFhdyfwu1FIBvtWmPPItuA
J9o1QzODQ6bNz1BRY+r6IqkaOGlJY4LpnUdfC9GIe6MHM/10EFWBHqtS9aWTIsSaE9liWKpLUTi4
VhvQ4CQDWFrXiAWdD7ppqgsIgiZ3UVNCdJ6Vx1baNfbx0FIAJzZROUDKKNb6QtHOOjcq09KzMFdp
cxb0EF10uV2m4T1YIuWjKRSoEVCdZePEIaSdHNE2kCNTfp/fJUGO5GekB8IbZwALrP+QVcQQsFjp
F7OQGXFwavhZ+y0MTKOBQGBJ4xMpTHTTlYY/LIoaEk4zOdSwSSWuInLdxclgX6Y0SxLIBjQmvbBQ
aHVuD9ZNOWvDDFBruZKBUwwsBd1RlskMdaSDBFmCebEYeA67P7a6gHm935sQB81Kmn9q7R7dR2EB
ew1OOvER9npaXiuhEChYnIloztOQtpAo/IJ53XLkxHHDPthY5a3X2kFlXVh+wpvb3C9FAYc77OhZ
JgmgCY5D351LUsX6nBVZSK5xZyb0BDJFAn5X1xnBRVwYWeulpQ86A6yxurpIEh/4L0QczMuQx6HX
dqZ50ucWyH0PSV/pWH7I9hMjuZAPhS7192ocrXwZrPzXf19Ic+0evx7SXI8HynS5fBmCeS4pWNP9
CqiII/BNIfcPjdHQPbu+LPBXQAWimpD4h6tgLYiZsBdRTagOg1AKYjaHugIOI0D/HU+Bthzo1YKo
A8xQgBQNpW+JpxC0zv2/9O3gG9Y3KBG4mQOq0SDsuukbRYURYzbg8Co1B8u/CHFlf+2QCVFxu1Aq
uNZGa58OdU6/0hAs5mNhqDx22s5ov4BElR9FaOk7IaQ9gO9Zt3pOFKs+laRGPij2hM1oCHljSxof
O0wipwsGy00wjl3c0WvO1aIO0FXd0HvIbi3bYFiC+W2BENzSkoNFRc0FTlJ5hXuWOSimYOr5Xm0U
4FtEhUMhC+AGRVO6gdkv47xo3LwtWqfGQemUkOt2+oEnYG3xeaKazjEU445dg7oNigKiM/5xltJb
q7FvU0mRF4Nv1/vd5cCLwBMNWuYqv8sI/hryiDjaL9q5UlHtBHgYFlwKcGgaDUUKln0bUXbe8PIz
pDLnMVXJeVroszqMayf3MfeskiHHKoLCgWOCu9kQ3zbglOXWkF0QiKs4g7IQFDOoDgJFoLdbq2md
IikhYEw6iCapIDlXOoWQb/aZ0LxxS2RmXm0Wq6EserCjumTGy/o4KaOFKSCdG1dexlg07w3hWlbV
ORzjea2rwA0jeAa5j1o3aLh9LBX8l9V04I8I/VFBJp2J+IZbocez5AGCGvdUV6FTVZF17tv+icyM
G5lB8rmxWej6qfah8oKeB+tIrk6s25DSe6tIIyew2SPV6mzoyW3Wc9OJTZ54SjH2P+yd25KcuLa1
X+V/ATokDgIuF5DkObNOroNviLJdFgIhcQbx9Htgt1fbbnev6H3573XjCF9UUZmANOcY35iK6lEX
kebzUQka92QaI1errRTWHAEIWVAejdHQqMeCdTJhbBIpncWG1f29QtkVWxOIChARqdv442UIuI58
0wV91Lr7vmTVY1B5c9KWw+0yjizynPyilqGMGos4SWGGd60pPmTj5O1Y3oI/cUnqt8ETs4NnP+Ox
3dJXWXG4jeufQcY7ywRpky1XWQpUAHYaZjd4WPXFHYeTDMubxbD3goXoScqFpu0smsgNy35PanPs
GR476hUnbeskqFr84VbwhD7XirCdi5gWcxZbrUjLqbx4dXV1wvaI2UY3YxcAIhnR6nLfTS2nee9a
VpJ79rsKhX3EtH+oR3Y1YnKAZgxHK8xSPjY6qbLuISj8D8yazy0b3uyseuh6f4+Dd07FWNI9yX2I
9pBnYk/jPsCx/iTphFds4TAxZjkktWJXfHgW9VP+3LReEVFSXe2M3jSemzZh+cGysjjQIYqPvJRR
5VQ3/aCDk3Lyo1/16ilnYRtJI+3IIkoeLTmgC8oNLG7QUrFfVa8TrMBNb+Qt7bJnoB0mdhy7jfLQ
3YXBcpKqPw8UXuDgvqAMe+0dFDYeLjrZt0UtEpmF+7zur50kW8hWOwcFSioyeR4w0C9SbqBSU6rE
tdGaYKGNjJcf0LY6R0FbddvNZdYd5pHOWCDUGFW2syQhmgjgQsETiGAZcY1yKWpE0aWNJP226vDX
c6V1Us+uvZbkB4sIesnxYkGZEd5V+dUSeWOLm9P789PSKH7XUiqPhVt42x5fwWaSltxRHzRAXeOI
yogDPyLRyPp811uOVUR2jkubmtDUKrLyqw72O1l383VV/0qGfe8Q/rAH///pPEIP/ett+tshTn/e
pld34d/bNMwNGIsEA7e930G9b9s0ZchHwz/EUWRQEL/3PXBW3ZqaI+ir8IN+yLC5/+F7oA0A+onN
NUA7H7j/ZJ+m65nRP+zTiO+5mFIKYBEhH4Q3V2H/O7HZz5tWzVZjzrODZyelWE39c+07dfaZLIvy
IKv0pNegswTxl51mZTkpoAPFtGHMLe8yO5+SQGXTroWuaSLMvPzIIU+ADcpeW1rel1lZ3ZiyxEO/
MDt1PAoyxSXdWTP2Oa+DIikru4qo6kSaD4MDt1+0m55BjRor6p2Woav2lpJ9g326VCaeWZfHRcHb
C55nJxpFeCpYXx5DJlTS1ZNJWw8gRt+UIPgqEFRVSLGlSxpiZTWH0hOnQPfZsRJ4tUsrLCMeOjZ6
QZthySk9k86hnydoAu24ceYypkANkmaWIm2CAdyMa71IRq81m9XBz4cHykBGZZULvUCwOuahsS5t
wT5OCkBZo3261V7xeSmK9/4kuipyR1rtp8zPTrVbmHdt1WcJVPgz7xy9H/LirYfc8mK3ObldZK/T
kckm8TtpwzXRwHl4qEKAfhndsIlYB7eeyckDw7kVuQ1AocW22fr+bSB5cV9RuZ9y8wBfRUXaVe6W
BPrWZ9hIw6xVMZw3luQa3f1SrqUEmWg0m9I60XyosP21ufcy1mjsMuKUxz4zFNBUZZkc1Ebbsvaa
496NUG3E2UDKgF7DacabuMBvgj4UWv21DsLGimzbtzzAGMZ+sOxBir09lsuhHVV4FaOpm0gvgeZR
iC8hu4aZRkEhQBqONCxPNgguCn3t3h1bOidfXtr/66vXOizp71avf0lQIJ/+1GN8/bFvi9d6HNN6
FMjXhcZZO4lvixeSfyi9cFwutk+C8v/nJiPEWZruGhX9QlV8W7x8sMnAjn0sDT7aA/sfoRPoW35a
vDwfrjDqJ9QYGAqGqfc/Ll7BzJtwCPLhWgAXPAQydM9YzY6Bkk3sDe0jA+3YFH25U9qXy1uuu8a6
HYyBkLyIGBqmvA1zkId9aW577h50V2lsy50AYmdgPpbU2gJbdSO3zlNejvkeCjeJeY1WAhoEz+Nw
bFRa+bUc7g2vX0LwWJHFfIiSkBmLuLY79zDO1nLwajXnWWwCI8BGl4mxMwubc/sZb/MC35NkW0M1
HBhahns58PGxDoPgaAtWngNHwWAQ9/Xg5PUmqAxJaxqIZGwtkvhjqBLtLE4ipbAjm4XQJMAYln7b
bxpOY6+3+9Sb6wvAujEaHR2mo1zQtGQ9dMtcYeWeugvtujDuVfPSTvxk6LTJiQHaa5+Jy4/Tspbq
RT1EAnpLVARBPA3dsFG4wxHPrH6Di/HP2aTZe7MUY5Y24LZQ5FrQxPOO7sJ2uMtL5z4oiBr2Ncut
/lZQ1exgncSqydmu8Uyn7llPUODlQ+aPkeNn7tah01gAQPQ+l9kw7dcY7HZQZZkslboxRXdhbn1Q
Mr80xD4GvZXqbjpYFUv0Aj2jAZJYAEEX9adJ2XeiD1/+u3h8CS+Qv1Uo/iXB4L39ufBZf+rb2gHq
CrP6nDWkgLGqWCO+WzvIb1AucCin9xXrwEL1DbsKfoNmgGST53igr75ECr6tHQGOrMGRJZgpgnnL
WFn+GfDxJ1sUqWYb1r4DrxB/J8iwH9cO3oL0LpxAXi3avHDRQ7cd5AdqvL2kgIILtsRdO2x8D1D4
6KeLw0+haS5TUEHrnipgVqKpooFbcesPdorgQ0q0cz+J0d4Evh7ikZsTwdbOLFRPgvaPIrDrWFJ5
yr0GnLDV7mTZvVZs5tFA3U+ZLbq4tiooD958nIPxUzmAiwxKvIhYhTfMgPWnRgEfHCyZtGszCokQ
9NYQglA1BN2XViZVGri18bzE5vI4zB5oXd4/OzB8E2i3nzRhB7AAa0Wj6oiPXRlVIHq9HP648sOb
JaRPY7YAVQxECUPYmkCL9vgvK0S88NqOqopnkZ/tHbCvxkej3kA9jexpflxyfu59dawB9Ob4TJE2
SDRUtn03iTIZOa82pbLPGbUfMiN7rEMoMnBUN2iPboShXFpB5LrOrnKMABBaPwVea8UMzOvAY29s
BL/v7aJ+D8vi0SzudOyD7lo7fbdFpwlfsmnfzxy6tCq3VT2xyB08aEQT1uTBAbSfZ8E55/aj03RO
NIjpamFI+6YshyWxvYVvlhCWAG9Da2vp4c6x8k+ezPQW9khMYXocNXvt51c4QwCV2WtnHL0dWrKV
A+D/FkCdfgxpru4lkXX5JvjyaZrzu8VB0sAfao1YAwDcAEVxccnwfAMPVWQ397a+2m0WXl102AcT
ZrEbYmWdfIbAhykikhMR525oLk6xQI0Vupq2MJafJjUlvqjyszPrN4jNgJA1DxukP4J8+W+L91VR
XZelv27xALa94kDy1+4XSx1+8NtSh2FmIHbXc0mBC+EflCH/LpPIbxhHilQ1TvogFIjp90sdusIw
xGlrMKB+XOow0RJZbcxW+doYkn+mxSLW9WOP5wUO+kiGKxFQCKH/U5mkeDCOcgz0lRDJdzXPtjnH
m9Y603HwR4O93O5O82DrrUMWZxvOw40qEN1yVPWhRbAm6axuJ03ubUKnNTGfmBMVbt7EQ+4uUWFN
dpL3AUj1hi2JNc3VTcPDp9xb2nhsHSeeyXKEg3lqPXcHdQfGlZVvG1M/ZdDYkJ0Jzktr8JLoctwN
sj/wqmhgnUAfDgRiD65/ZraLaBnqj14Et+Hkl4lqxW1P2lfbc9HFePxxrLw6mgAUwUL3x7gclzNT
/tOcwWmljvMcSv3E5vEYlvQ0+fLB8qpzH0x1DFPtnWozElkUcEQ2HX3Ey6DHppRbL7aYY97wtCeN
j/2gPtW+fkYY7gLsvIhyb96OMzorPBRIZQVdpGaZR5bfbwRb8ggFpkycdgaZmzVmA1l62Izjmocr
qms7zXB2ubPTOTq7eRoukxwhAi8T3XplnxasuZvLsYi9kqrYspcbJ2Mf7b5+KAeTwhmqIoerm9ll
qcmrvYDRiqRHd8MG/13eZHxTu+aZCSzNYvLqBBOwIXspcPWOMF2ibH/bt8ttOys/pbk8zFS+5QsS
ZkFvv4OASWEs2hmScuG1GH37IjN/Nwf8vrm4+Z4NWJim4MhMUcQ4ryoVPsRmt4GJ1i/Fpnf6EaZa
8AzVFptbo+xIarHFvqqistIfS5/ppOixutkNTWUAi4zwjenNThiUe1VVfGhb5w1phrdJE77jjXtZ
7cV5bDiQsBHpQCPdR8crQVKYwMZuJGKtmkPlsb30KDz7PG0DXqYUOMfGzGjlbc7MNviyDitv6DfT
uArO06dwKac29giqddI226VxOxTvzcG1GvT/br0LGVIl2s4K2PA+JHc32NkWV1vdzq8ADR4E0cnY
VUCY0Rng0cVzFD5pByGzvOnH+8alzUaEfN6U/oDOA2ZaTJeBbnpZF5HjybtwBDCJyNAaqNmrkJ2y
saNQItoiQQuP98KXwyYooM44jbaxXzKSWtKRMYFjeTS2us2s/KPDJ/e2z6q7oHVJtMJx+7rDZ8n7
CdL2Mmw6F4ExTpar1nhTimqekbirbzLfO+UVIUlNCjdiBb5Axd73PT10+la4bh21bQBHpcr2M9OX
GbR2NPbTIbT1J7dbM1CmeK3cqt74JRJs1myVSb3g+Zi8Brhk43Gw39bWMTHAbps7n8b2VBT7Tk8b
oRsTNxkeg7HKXs2KC9imOWdLSSPlWPdz7e6QBLLQruWPFi/fygGvDHKBeLZrL+1CFGFWVUeQbxzY
rvIBGNrncNSwIGY8d470tzAAQHmDvouseumjkTfqZNmzd6aqerCQkbzMI7AOgFfFxg+XLJmX0YqH
LEMmsCUaWMR4HtsyiMDFFAiEivu8xdPsuZzuW4nIkJvhjgP2ADJpllud1Qy9o0OjrhqXuDbWndO0
Q0JwpShfmiyyRjgNaGCydDR9keimd3c57tfo5ocSbBQqlea2cp0jAPp7kpGHzBM6ofZ4QEDG3jjL
Aji/021bXOuZts9liBDmhnWIUcbdUByHYUTH049OZadiyhT6X4GIZMhz97+Bk99dVmgZf10TfDst
588lwaqBfFcSYFcPAfFih0d6BLLqv0sCinNjAqi7jGFwEgqDP0oChnMZQyRL1mz2KrZ8a32+JE4w
CSBcjdkvOZVvqZsf1HkE1n////d0ub9OgPhB80UHtTKr8HtxPjNF9uXH1qeqpasNDq65VM4ypjXS
qokm/ouPQIT2hycbAYlyuc0Ql8DyvLERnxh6/i5b8xRm9eNqRCwaRC1g/CB24Uzlu2rNYdA1kQE2
5wPrQYeaCaohQhuEqymuB516tM3ifE122IS+t9asB11TH86a/yjWJMiCSMgkkJPMeHtQgGejwsmf
Kk+flAlfFquPZB208SSaV1OUkG6c15bRZ7zBdsz6+dyPYB4NSKKkbtY3wfDIq/T4ZEjwHgKROKqa
ZhvAoSwhdfGuHOR7Yvxl71Z8n3WWTlmw7JbGfo/l/ILsd2yYj5z0tlzIpgl1G3nF9G7IxUsgrN1E
9FPXWvzg23USdm5cqfFCC5LCT7nMRlxWx7ExbRmBFvuk4SkB1Wiihk2XcDXXtLD3rk4LxFkgGsW2
fc+bc+undV++NDZkXvyJ265b4JYhgydd2cHZQySwLOzgXeZmESLf3Q5pXxVnk7MtMuvEKj3tdI/q
JxPDZtLFXd2xEyN6SV1ILjGWyF2j5afWgmbf2x1MQ7QvLSoVNFfDjQnCHSkIQ3x5VNtcOW+9EO5B
KlwPwdDO40sU+u0HshiRAFA85UBtdVe8zgzJ5GDwT1MvrrIOL1XtJqzw1v6vOE0c7YjrJz6o7qh3
Z5ZI4o2RWm07vug5ZtNII1m6DRpNGAdC9FUs/BoPmwB32VfLTdj7r15t7bkl+nTo7Dgj8Lps29yi
Tepif030N85HYxdN7DbFnaJVkeS4c1btvPP0FDWVbDcE+YVTY9G9DPS5Lub3YzU/5l33oW6CCcyw
AXOIKQPINw9FbFpaJWXR77FMY39vyqdBwGVdAj+MRV7dZp3roMicdxWFRN8imxvBr52iUu8dG7UE
3PDPuB/gx+qr2+Yw78nWo5KAC61gVKNmMdK5Lxb1XlJx7Ol01osNeqlXh6zrTwSQtV0NSyRJvQ/G
4EPR8X2Y8y2EUBmxoHuYulUQtN4JzfZE6cPQum+wVPYl4VeYo+9VJ9+xssGXukwn12mPzqDPw1iu
bfZ8K6txO2fi5A4sUcu0q0O9p62besbdNTw/cJdg4zfOsZbTcerIDThrmQ4LCE+ICZMPJbFzlxTM
+7UeYHOYxT+0oX0Hqe1YCmS9S4MovqyGfTHaV5e0Z177V1WPHzthYAdz+77T3RNXzRFe0hmNRJJz
c6eIhKGPl76UwOUn8cRLf+txvauYCPbGU1s2Tjmejv7sqBASru/cugXfw4K7rawRzABp4nxo92NI
nsk8SRgcKMFDe7ibcu80tCNyyD5ocLVUz7Btd/4wYpfuE3tesO0jyelI9n4Jwu1kTZs+nFIpxhfV
DrvOI58XRNsjIezNAm9ZoN1D4bmAkr6zMdIrlsEk7TTQHta+2XEOllstm5bJY8iHE4z7PbJz/Voc
HkHZX91RHjNgblGh+XnCvADUiOrDKDARAUnri0XCbaPDSwv6EOb0nFYNoRvh0UdBh9NM3SentC6I
hd8v6y0EC/QBsyTwNvKNY09HtC5PMxmvDqUXUs5JDiR605rp1baga4maC7wnkIB63IuWeqkauNg2
QfW+dpyzCdFJ9KLdlbrYlgq8WMfoo8/IoQF9l+dF4nXWLdBoGtvug8+HjRDLh0L694vX85OCprsn
PLurK3W2FMmirJEbd/He05ptfTuLXAeMRNEzdwN8096Vs4t3mb+VKIgiX2lyNL45wQ2wgdGjziPC
2fqN10Z4KGrwPQHcPE52XTU8d5O4b9RyMgN/yNpupywIV/MUPKpJbPGZH7iRT32Tj0BVb0rIxgUZ
Y7tgCLxX89Zz9XXqOSr4pUsCNu4suSBUH+zbjsF6o7uWh/hq6NWCSRrlo7kdB/seEZVgQyBeJwHG
ZkQjnW5rh507if1+IzvLlhuA8OLRq0SPxZ/5R1shY14FckzzhkVVg2EOIhjxdi6nRsAzRUSjjYyp
weyarc9VeAPSJIiqflSbxRJNZEP6glQH5GMcqg8I7G9chgYVO4wX5aC6ktpG3hzMkvclT2CJZF7n
QegxHA+FnOFCWuazars9RiBIFKqqjJ2ipRETc7DxpHwaNbfRSbE2QY5LoR/sfCuqCoZZBBU/TbSv
r6qh/XOBLHkeobG30iGYvNtuUstBBkuN4ROYBCNQyLt0U0+LTMBhnianPYy1uLGDMnVnVNj28lg1
2R1v2uPQAMn3HRXbMoDeRZvnbAL/7vNp08KMiMYSwzRcwBxO338YiwE2bPDiZs55nAw2GZFUw5j2
mRcJp3uoCUTSwM9fsbI+Ihm6y6b8Srz5LSucY7XgawpzscGDpOPOQo528Y6Qzs6ZkE7MEPYoYAUD
mz+MA7bo1gxBwloMXiFeAj71rsf8zQgUxr7m7OTNYkfbJeJlva/CKfI0KRFsg0bICgfaRHXfY3bC
qI1J0O4+KDmpuLLKIxHTnhDrDGk7Rim0tedmj1jZ1irzPfebI6/7J+hLR6koAHrstE6QlkH9MSuW
TVHy2zlDpWC8erNk+aYFweU1/VuVhydLqbjDQzfPw3EI5UfmEL6mEveaiDuMu9kwW8QhnObIqdgu
n8l9V1rrIBnLipHKi4wP5RMIWoY2NMwKEg1hl/YF3VWD/TwGwOoK5AU9TElxQJigtGiQkpENVvfy
WYKs5tRDtqK1NyHaMwjicm/VxWMYZlsnWG4Ici9R2dMHM6F/LeonDaEsQXci0AqJT1mrxxgwwbDp
c+cyeeSScef9THq2EUWN7srfFqHYh4KEKefZEabxW228S19TfOJJItxh42HhevLiKfAn1FI13WSG
BVdN9UG5w0bLABZ3T26la51kPy8YH+KkXWe1UebloOM6Uu0wv+PFmwpzH2KlSUo5n+Y5GCBm6afZ
W25ri73YdpGltWieyYjyhbAhLbtRxqrDpw4yeFzr0tMgSDLqMN9xdIexV5fnGgx3iUEYV8tujzXl
DTjvbobhX8HcnjuUiJjMAbLts0Ggmo7NPRczolcLEAHfLiLTD6elXXdtz32eKV60ggQ8aecQYLJx
EQ8UFzBesQtBbu/nS3eqs5YBdHSeoP8jgtZmt2EnX4hAM72+7swZEcZR2M3LdnReghz0W+3e0mkW
p9BRYP3rPa/Jg81R0WiPQD0athwaB6nKU8PJdvBdTEXyqs9DAEEB2bMNd4KHstcH0RfHcmSoM6d5
09n9s6HNXTjDhVO1fykov1RABzGGwRzVXDw2MnxxZ+cuwDp89JxCbQbOdGr37stShfuwo1ZcEKG2
asQvtqAUYX4P+EPljrsCY3yiTtXYHTHDhTj3iJfaaCPa1nI3gTSuXcSlw6yNTUW2FPF3Hd8vWii0
Yt81UCBbofWGOC6QYo8PHUZ+aqBsQchs20pci7qOlDp3sFND9/7vLwIW9xcXYdRFNNKBI7N2cd+R
OWU2t47VdeJKDPiXM7EgLLoP/fTw95dZAZ8/QN3fPwv8c+CIyAkggf3jZTJCQnQBBIW7/XnS7yzn
PwUQ//z7fdvFyS6IMuPr+vm76kLDNOZ5yaua8KDtguz1H//9PmhmfEP4oqB0/wQac19li+M11TVA
34FZVeFXmQP02q/b5R/F8z9/Pz/da5eVUKCwlMKf2VpVXILE9BMXgu2bLL6iKP/kUgj+MkS+XQBe
3jpD+/s7LgOocxPG1FxJsRtaEKxRvcrfMbZhq/7q6PzltX5EJ758rB9uy/qIf/d0ESoQ/WNSwj6L
ww4VXYxXC2uqGdO/vz+/+P5+uNBPH0r5RaiH4OuFHIFhMtGcp9hH1q24/g/P2i/eS5wyRAlANpwm
Za9ny3z/oRxP2Robr7p2yGjB2pk3Xvbx7z/OL16X7y/x8+O2dB5qJY+oqwpei+zFtf4XjzNYQCD9
IZLF3hft5rv7ghFMXu9aNmbnYAV0fMCu/4vFC0F1glNrMegAON5PxreyFOp7RvV18V8n/zLABSb9
f1i7fnXT8RD7cPjBF9JV4/r+RoR5hVEcwQKTA4WfiYEcU+92xOiwOlmc//Ak/+JaASgj2wZJ6VPo
Tz9eC6YuRLbCU0DRUJNAVMYwro3fRBo11t2Xm/9/nRXzsDh/9xb8acYOJE/9C7kTP/NN7sRJPqtj
CabDxuDhL9Nyvsmd4EAwJBKTw5E2+WKB/iF3Br/hfmH6AM5sRKNOVh3ym+IJUAzgGMZJYPL86pz+
Mwc0XJ+BPzY5TKoEMQuSjSKmz/x1YOaPz0i3EGEGb2AX6DRouuCgIDCog7xxYVjwERHzJRsgv1g2
y2US9Jmvz4ZUQJwGgcI57z0izxj0SNAZ2xzX4DGGeKHUyKzBLcINpD0bmcRl8jAqbuqLATn5obLw
tBPuWlVU+lZY7zu3pXArRo/Nt0PhQz3AzsJTf4Uchlk92WQQMaThXb/mSboViWhGMmJ0VPuFNOnS
bCAPBQiKVjG5wUicBMmyO7VCFgicQ24Dd1Hr6qia7ISC7tF0NTaqFdGo62o71HvkD5CiXiEOseIc
5Qp2yBlls1hhj2HFPsZ5earAgVACM1KCDLEGICL1CovgJKc6marggPTsJ3sFSsQwPvcrYkLBmlQC
/VIF+qRbMZSJoRJkK5qSjU2P3mGZk7JnEm0mEBbjtV6E0aYb4g0mKVbQZQLxYrnzUVqCxwOS9XGV
0U/zXOsYY4zSgjQ7sYIzQFpPxYrSiLZ9HDzMyyua6dQNJZCbFb5ZQOFYyF40K5aTlRm6L4TSszar
926OoOrs6kth67ummeLMr49wauN8LlSEPGFEfcQswQG5CDZjXtqY9A5AevB6MnchoNb8AMMHsEfA
orXuiOx+LhCo0WUaGN9CnqJHGhVpjVK2xYmYZUs5fxrgJscYQyjggmELtBi/mf0Wwbqwj2nTo+uE
6dmQ9olrgyex9I7G0PseliGb5RgVM92VqrjjajwJz0mQpcWcQ8SJNxmS31HtWtmuLbM8JnN4Qzzt
b4LGedOSdjuKnFnsKX3xKPjg3EGWxCnf+R57XC12jLy5Ijpbx4jmwKqTIaQmWaSFrB4nOJ0GVvZA
nBcC9T7xkTUYJ3k/l95e8QaiRQYhM0eANjZdMeJBt/NjXbcInocL2eXT9KR82HKF3cODnx6p2z24
HZBs3i5blcNU7rzYKsD7eP0HTF5TqOZhVA5+CVmqpImGv504/XCP/reEJEvRyBm+553Ld03f3A1s
ecEMhPeNh1Z4FvAQQ8xW2xQj2muXDO9GASGblq5IMDbnYFn6gEEvrwoRrIhwOLu2pvehx6Bgug91
R7aWo28m9OjRLJz7tU5OgpzAYZ+tC6yzM/RoK3ZKkc5CPgnXR1NCzWvFl3lXGr4bxtbFML4gjJWF
eIhTSZ32vXopFDJVphOYXTovwTGEWZ2ElKCfWtoT0M60QpOXZrZE0wJSJGIWFMfOXCl131oJkVW3
zQWBq3e6yfJDWzlyw+j8VorwDo4JZoKC04+onE3ULebzNMI/BOqBOYXcduHL+4iEdT3dSn/SGIU1
3LMMyTFGUFcAbYXSXQsYsJjPgyEk+a7k8yvLewX4XqnNzEKEXpoztVyML5wdzP6UGC1bGjxQmKSx
WORzO7lHrsXOLPoFQXMbmbxm7zsl/J6ZHuGmj2kwW2NiDwjDzba75z3guaXAUkLt4kzL6mAwzQ+y
3xGk3m3RAsqXxT7vm/ssbz73MwpTNbUno7Mrs+qHOsjhmBv4BiTn7BhiXcTaqPHmSsQG9DBti1I/
KQ0x1p9CvLNdBnR0ajfIJvcY+To9hl0/RIO28E6rGr9clC+z0zt4Hee0HAYClQ51aYjQeloazPGc
3qZ1qAgGM4iNMu4xZ9XLbPCN0nC4l1Nvb7JRI3YNU8DprEfMlXrLeY9hEaVPMA/S25NOf8TwmPdL
Sz6PFA8DMlAPNXQ+RPGok3gS7BqFCp42lX8zFhi24WQUEP1kRVKOmA1R3uGjJtOQX5fKhT7vNgEC
dpYdLdI/+WA5MfCG7AddCrjWwbx3J+/errPnHG72tpXirZo6zGNxJ8TFpkXtunJ85yhMLGU+Jn1M
czuG3deC7L9V0sqf/7UxfNLd//sXjkCWb92fi6X1R78rltBug45fx/J8LXv+XSyBf0UxhEbcwbwp
1Ct/FEvub4G9ArBYBzB64csAtW/FEs7aCwNUSai+4Cyvqd5/YA//2EOhP6cBIZjhBX4fWWCf/NQY
FsjpB5MK/4e9M1uO20i77ROhA/NweVBAzVWcRInkDYKSSACJGYn56c8C23ZLtn87fO/oiJ5kkioW
KvMb9l5bXHtsoUCgo2Rn/h3gTHd5IT8VZOtPwXJkQV80sT9Za3v6Q5vTMHnNrcUS164Sac5pr9IY
eu3sbiJDz0JhALyqIDecndgF31EnYpMvjP9yXdyrdXKXp+5Ot5L0PKoq8gpNsTaaC0qUZZq6UWOE
+npx6Ifkkg7evu61s7qMd8AtLs1SnRis3KRtfFRFNvsFslRmao23ddYLL6KigAHgfdcmECLgU/jD
LgNRlPfvqTW1XFM2qN82gunsR3z9RGnHwkeL7OMIcGoXjaDIO0XOvvAYfU79UiFmQ+q5aXXzM0wG
Z+fklvEC6Uj6CgSwXapmiR0mfVNT081sGqtKm4N5Ff7uY6+OxEEzyg47lOFe7VnO087pM0Qn6DxR
5Ru14X5e9Ia1aqPDgVEW29pp1YjmZYMZEAIF5VPRzZGvTpZy4za6cuH718F6K2UKQ+NKKXduxU1p
91HLoFxHXOy46d7IzezYT43t3vLzpPFizbEjT/qMOxlyqnFfQWebbhNNIAKKZ48D2XaOA1rdZ2xv
5pfBgbzKLA7fTlf25sGtMqtl0W2Ny95NhsjeqKP0HqvKNXy7NOtQ6VUz0GuMyXnPJdLE8XwYdGu4
en3vhB2/8zNFl3yVSXyaZlZ588Qe1WvSg6IXWsi4ji1JPoz3y9AfhUoz6FWadx/PloZ7IUkDd/aS
bVUX6mbKTGb0WuA06ReWLcOZt26AIJ+ysqOWD6RuI8rJp/QINwwCbUcp13W5tim9yLzKZKBZmAGp
ME3dj2bpBMmky7u4FlroKsWFATmyIYk1BJmiWVkHTCoU63a+B7afBbGh3kpvfOigaDzGw+S+Vypk
XpEF9jjZ71XaB1YhgyxqtE+q0m+5vraKXmWhp3AxITMUKPF8adffpezeyrR9m8X8GTxm0BrD0ZuK
LQcILrtlZ07qZXYHijI8qJbOKDkJMLZ/pey+NIWyzUctNFp2Hv38rWTdHFffQGxpwWjnxm4CHhNk
1vBs2enXfGFfB+1LHjuAVnB5lrNe6IjA9Ytd99xQ2TMQuQDUEm5s1+FitLex7u57dXmeIhnGBQrs
Rm3Qe8Tc/8BUDsKCCQi3J7Ac55bXeG/1+OumdImDtI3kxhzU9JIwgdskkX7X5aW84L85xfrEw7yW
Nc3EtjiCLY0n5uTxIVJRWeteG0yue3Zr4wzG+ouydJvMch4w79+VTX12+N+D7p3ZH90lXnrM9TpE
3ZdCKcMnPmeaLxJkoT34uVUDds2U7KXKtJeacoX8sRP7hCMNyx06zQDUSgDf92KZYtPkzXxiubwH
y5hAlpm/NZmz75G7ei1tWILebl7Go1st86FZyvLYQVku5sihcCzzYI6p26zJyHaNV+8iht/3y6w0
fzON+xPDJ9E/QPfI8nLR/vCfP5+8yaxhObbz9Fo1mQ6O2mNYMsxZUBRDDrPdQFSOfyeukJQW9fKm
1Y28a5pM/eSCPPCrabrv19ZmioLMc76oU7fDvvPOmjoGmda2YSyQ0tpYlKqFZzpfhZkR08VRuKhA
mkEPHLfbDxWkaWfpN/igP+uYUMNB64yNBooZHPpmbDZyOmh15vhdVO40wSjHHG5zFMqygKWQFw+9
I44Aok6LzI9Nr5+dujq7Uvd2HXL/QM7pXp/oTeSANCRC2pOYYsfczkG4Iu/Nudc2dWIf1YQqqTNi
9Rx1WueLdnoUKX4vz+7Zus4oF9Kl3DS2je00zS5DvVwTKQ7ZaO0sxC5BmjeHqMw8v3fp54qVydaJ
0IrrM1gXDGQl7CUEFNgc9txrLUh2Kq9qlttKtDeZyO+xydFylwM8glKh+a9VOtX2lp3mEBTLispv
xaM5o42Jp/TVU50TILpVLVxv3HbZQsv6DlR+p9WgqU3tWRRsHQ36buzuI+eQIavvleec1YYxQuwp
3yPNXvxab3y7lxML9UJjW7eeZd05dewnXc23rFIH31Wy57nQtY2QcxaaSXxjLJbG9Ja9nVkLJLDg
GolYQEIOkbe95DCfDj9UT7f/nc78qFP7edL6UYjgEgTBrK/TXNP7XYkg2ElSnUKHjPo0MMSx1f8O
4LiOg/83FeJbIrJjt+LS562wZ+13UyGQkCUjqDi+5jaqXfsm7dN9Wt+3o+BJyDepDXRNhH/9qpi0
/s1PXV/3D6VPX2ddbRqKcmEQ8oA1G38O/4Vb8Sk2qT3IBhGbzrW+2JFxYB+dbQZYfnwqaOFUnelm
2S5PleKc085UNwCStrk3al/dBIlVoYpHG5R5EGfzycnNZ/q96ajlht3zNJVV2C9OGbq10gQam/KN
U87zoZ8c42tVCkD2SwF/Kk2/5TyrIRy9JOAEnoOOncVm6L2H3kQgwXn4iD+RKInYuE3m7jvdz55L
6ZNs2629opl0S+wNNVFCoVKhsAAvd/PSq5umsM2gHeH7O4BYYBLQgKWgVYwYmoY3n3jo3xs5stir
00NrKvt5ND9Ni/hiqtnR6hDgQbmN8SCifRYdlHi7tw7ZIk76CAlqjvTAyFWVCybjlFW/DPiG/FQU
FzeZdmU7htiaeILVMOtiGH5GHVSicP16EW7Q5tEFGRjWK2evVUyE3Hh6gAVDAVcrn/oOqL1hIPBe
nA5RGa4Era9e7VWxpxZ3ZMfgkp86X2rHwRoUGCYoi0rWtLWmPZZzsp+iacKu2V9rtj+BqK1Di1zL
bVSmY3iOGsvcxbV5dhAs/c3j9nfP+FqI//C00WU6g77wtIlzeRtflW1zaj6Pu+UApeSM1ijZfNMR
MRy1S/kynv76h69Z33/yAYMejr2ObenqSP7xh2s1YpLMNZVLHVh+edY39ZZluXZSvjhbNVQfb5TN
+csQCtQer/xbfsUx5x/TbXQlDqb4m7/Nz43Nfz/thkp5iamGNsr63aJwVke0KZpIrol6Wxs5vLgv
7bD/61f885n1x5/xu73H0ha9kiTYUavmLQZqNN/99ff/09eADthh5WmwF/7du1lMNnMXSI/XSrlt
PD4PFjXnf0+of9t3lXfj/27f/1/x+r1q/9i5r1/1a+e+Gr3YVvAI/YbP+rVzxyrPXsG0sZWqP9vh
2XKo9OzsvhFd0/fyIfm1cSd2FRYXPi8Te5ZNNtc/adzZnPz0cWPLAcGZEgB+tMbFSTrXzx+3qraY
Hc+RvFFz41OGf0CX1qkw5V02YTUZV4tBrALC1cy9mGcRFKsNgTp93HRTT0nd1A3Ih7EPQGPeq+bC
XLwGCjGanc18UcNvtTo6PL5XSdJKmGNJOXhxq/t1kj+0q0GCO8b1tWq6KA3miaIUNYkrGCqUyYoC
ZzVZ5GukSduNzVXFgcEmxbo4w1Keha53fmVTmcQRIkZ99W5IaiN3tXPYCZ3k0pafktLF5756PlTU
bA3iwMjt4lBmGssUs3iDsvwZQi3DM93aV1hIlNVLEjXysqzuksWKv6KLZ9jO1mHTYkEp24PQztpq
S0leW2PTefG+qqI4GJH6QSzBx+LMGR1NPmWBvsg6rLG7sKSvfaKQvvcYYRDHjb6n8oLaITpIzDKz
4hAZVobKcu7x0Uym+2Lhq6lWg403W2rg4bkB2nWbriYcc3BhzU/aTWa3q0GnD5md8JYYDorvOJYH
ZzX0wJ2911eLj4fXZ8LzI0sX7ORqA0q1RNvqqzVIOgMiKxvbch1VXZivFqIoA+nRqu5Zx10096np
oyIPhFtiLpO4uFYrUmMAyiZoiam+B8EYwUsTxqt5Ke5UYxPhZ4qVFa2V1rtGFUeZOZ9Mb3nVVhtU
MWc+hBgm74kXVHrCrghyLVuJGon8sArzm6Oh8VoW3FWeQQhWFmklRzBDgQc3wlbnthJNMvtos/2W
ViPC50G55QF/9SpGFOT4lMck054YJ19ayLuB4pqg5EfjDc/cG8yZeSu7iRGEdKO9M1lfCz6ifsVf
ZZOtI3b0S5RZsTwVrnochHiuF++0NBpcgCrZVaNybtBe+pJ+iWwhpq9VFrH7kfLaiYWPz/ApiaOv
TeK4+9IAPyyU4oHVD5WB3n9pDIewqy7euxb6pxlBVDXbxdaV5cGOrUcYLslx6EqbJKflge85nhsq
BGikVRV2sd1uPsizAzLfrQYZbmtMGKVUO7IDLTK/SNqEzbD0PctAGkap9xMyT0hnyYwKL5d5t1km
WT3FahTvyyRpb4VteeR3NcFUztrW7YGW6QvQtI4ovEFgS9KrlDeoLsMoF3jC0owFydzpB6ZBuNwE
JR919kFdGCo3LooyLcp3ZGqZGBeM2edYJJELYKUU3eJXTbk3u2YvFDsQ1UL/JDqYF7lCZp9ldhvA
tPS8ZuIEYF2CziQhap0oKKZ1K2LPr+TwqE3iZLX9sTLmq2e2D4PD1nGRxS4hNcgvi2jxy0y7wpFD
6I7REhfqbWH2d1k8fnaz6SKL5UlGJvsMghH8ohKf7UE/MvXYz1J+WgtXv+lL1VeryvA9ZH2ZbEJH
battMTNH0dvpErXGHVyhVU7IDEmvjzpTCH+W/btpRS9prN2YlbgClL9tBMM0d5Bfo8hC6ZgtT3mC
k5yRvBtCz32hN4WqicPP7/T6U5WYp0mp18gnnhqknnP22egFaDzEu7hsVzsX5J2jZ2Hw+ri5/r3C
VQqe//sK9/uue/uTG5wv+u0G55qGPkPwhIo+SIdy+T9fls4fcXF6/Otj+v7b7J1ITS5vJH+ri5pr
+kccl/efNfECDA1SHQaM8LP+wez9w/z1Q8W8XuFUCDahJqv/2zTXv9+PFfNQTxKUeGLcyInubpmG
w0jzH2hka2Lsb7aVQRfcdvMXpNRGIGPzG1GR545nK7BWWjDYP3PXtSRzYZz1SxUFvlBbH4V2H0xy
uE6tLQPTa6tNVfVfZ698TlKct0V+nzEgKefuyBLivqm540WDhcOrdYlDQD+XkLH8WHEeZeZVmxwJ
ERzf6HGpxBcLSDnnLSF69lTcWLFxo4126DXV0WE8klmLcVgG1vl9prubgV6MQJNQd+t3qDr3/Rhb
xxJLej23X9109j25fJ7g8PgZ40WfZUDm26T0BWw6WXDD1XDq5POo9S8ZnslNkiV7vWcFWEsH0kRi
tH7HeYvFwbhmRXPEVoQ0vW3fmwGp76RUnJi5e5NCTNyMcXMjrKE+TkUHfDfl1neKKoMv3MaEK8XR
VdqVio+ox4QFUvPdhVl1HUzn25Lyy0XYm9zpCDD8RLZvCIy9i6jyg+WxnIv0esZBJd0bmU4FDt6R
dw2Ti9/GoDKzghA/rrXE50i2d+kwwfZrISObTFzv1NjQdkstYobq5DwW5ZojOI6VnxYGaWRzTnNt
wOVUcKLsRLJGdCwETtgTvnqOObjSkRZo0wyYwoSphpEn2prEP4WAxvRdVxlFWBrijIHhtHSCxEft
0M3xEqSF+45U1vaFU5ihIlMjmPtZhFrkzLsMXXeoioRe1dSYGBKbtOsEJlsxtSRC6RhDirglcwOg
+T3wChe1iZWEAGdxAKpRFLCWNnxpGModIDbTLxZeaTPZKJXhFmzdWOk2Yh5dCGc0NAqYdLjHWXq0
uDJ3sZ58mnV5y4K2DOFczuSe1l+rHOF3mthsWxvPPNYeR3GsrdEyy/orSnUaWmmJxxImvC/XyNV5
DV/VJ7ie+RrIarlUlcka0prye/eNVun37ghiIxlNimCHXNdsDXhV16jXAerZXu3EtrfyMIpKblno
0H6BTdBHslP4FCXk8YmRWcIaJWtjdLxbiHcVU39vj0WGIHpNns31/EqqRLcHPP7elctX3H3Jtqs1
xDZe3l5SINIbYzXJtY19sOcxOtuKM+zcqDTvdaX/nHpVpwTqRyZu8pGPm5KUi/AoxIuE3yQRhNih
bNop6fxJU1DdT2yQNyqZu+UavjuuMbweebxgS+BFkkMCtDMO0zW0F9nMPjWMx4HrfQPe6lPRiKMj
ytvRkRtFcS7Seokc/dRX9vBEWfw22t15AiDql1BNAnfsx3OPU3rveYys0hZNUZypZ52flhAQNgzm
ewNwH/97flFHVfMHz/m8uPB0U7G4fieL79IhRIWMhUMl5jsSps69RRhflQxGUBZutctS6KnTkFjB
NFf4YVKqoZZ/vJQoghxpWNt55i3UEAT3SvyQT9GLWvXPtcnx4Kr1EDhZe0pH7XXKsOvIzCCfQyLC
0nqW+iR+NpnZromdq7ULwkIuB6LXxi89Vt7AUcxbb0KaVRVOeXAti3+yU7FsZzmL/Q4wr1D3sLnL
zWBGCJaq5ib1iBsV5C/4yuQF3dS+SRISwXmmQZTo9jNUq8IKq3K6lHr3rTKdQ9lbTyC5rUNasIlo
l68QU4nLqKY9LzrfJrra+4W2BLntXBPBKeNV0PXakURNFB3stPZKYzM5a5DepIw10/Gu7Itzrksq
+TT/2uHydErjqsX1TjGbXUxMBu/pZso1/rf1mrhpupFp/y5T55bcnY4UzfnQFWYS9k6+UczsjmgD
hbuAXE5jPiVdfld4SqClyaecrKbEJtu4Z5fRF+mnPO02vW63iKWk4xfzso+IbklXWx7jZ+npG7rc
t6gvZ597TJl30tWlS19EkGpsl/cqGq9/xxu/oGwYRv3ftRGQ5P7PkOIqX/VDceR4FlshU/8lHvzH
4oiJAuxPFkbmB7jvN2QX6YoauW7Mzz0L6YDz03xjBWwhcgClv84+vH9SHCEn/cN8w1E1l4klGgnK
4w9RwQ+zTHJXY/IlIvMmW2pnPix2VRhfh8ToohuyC4yioNhRdCwG63PaJw+zGZt+Zpt1UOpoe1jR
p9jUmizsvY5NpVWoe3XMOLcmg+pkqF61eUF6aKWvS4NFpzDIGmulfUI1SXREJG5FA7A/jrqwLqSJ
XpDQAHdG7ZZ6VFXQuiIWR9lATmkxhElLYnBidycE1h66wvTLoNl3qYGFNS8QN0xBOSy7tAE8NqgF
e0xR3S10NZVdIRSV+NryCqs8aa0bjxgDTtPl1RPtnW036r7nJKed0W91tYNNbC7VlqSQMiBLsSKk
p3lnyfraC+BghcLmfH6DNWMFs8WeTTHigITJC3qsL3XJKpbjrd6bkmim1mCtlNXwiY0KPhA22Haj
DdPJWFIR6u3y1rsRsO/hpHnjTkMyJWsWcoYMW7KEuN0GbhJs2+2Ac5yPdjbSvcFyplLFwI+znrhW
/GERgD+HFSzHA4qNEmxhvS84OKZKfMo5SNDN3dWteiL8Eg44WtDWKu4G3tJ+PYPUKW3LXado7ta1
66NmFV9LmTAEAafKHXcmbqbcmNzv9hHFcnunTdQ/L6xzkKfBV43LO/bBc70rNM6cWM3UJ4CFXuXb
Q/YNuQqXJZz3VO+/eTLZOroXo0vlj9N+fKPykezDJpLg8X13c3I1y8gNAR7N26ZL3keFg0648zOw
/k/dMt1pg/ZitPURA/5zOghvY1sSoVpsfk/16Tiq8fySJ1DvYRMQA4YV0l253BZCV2G1d2Rx7OGH
K2fCsT7NKS8LyiTjsdi9iSZEj1C+6FCtoE+wmVqZ7aHbm9X94rxrojJJluk+Dx2xIpjx9SAn5iaD
c7uzlJTUKvK/ao0wbAL4NkqVfIuzZkF0MS9bd2RmJ+Z4pyvyOR2rfcXHZlOuBHlifqgX5MLgYlXw
EaExjSbo7Fa5nSPlCU7w0a4xowpdPFpREhMSpDsMrhgbkDpGKMY+dzKHgRC+PKAlPiYBIloQKiR2
9i4TnOSF+TpICp6ckUU2iyuDnFNtIIOEQnQqx5zlvmEMwGW58xOW7AIpwq6ZyNLAPaix+c9f2Tc8
kwMdFvkqvoufjcyoHxbFxjy1ph8zF3x0lORhYgqpeuNTk5jpoU68wzLhRI/d+hRV8smeoh3BCg8K
fvrEcG8UT94lqv1Wm8u1KFZjNM/mYs9LUGtlHxBXdj8M1CYkvMR9umtF4oXZxPaWT4/9Igd5SHTR
30cu1jukIVvq/5ONq/Tfq+2/V5v1l1fbZzJH+/b1j43/+mW/3m2a+x8UdTorXxXn+McU/tfR/Uqq
5N5DDMFzCO+YLdWvOEqTvAwe0vW+wY+whoz+Nrs3mN2bOrAWUji0jz/6B42/9fubzXN0S8O+xpbM
gtL2u0XZpCrx0LZlf13mbNMQHhCvF4Bb+D9c+X+yUtc+3Hb/W3kzX2C0rLuAeXEtQv3+fc6plndD
Ywuzvqq95T1mSaPYm8JBo7VnQY46y/hQahEYvDwIHbG8tgq50ATGz3Ul3GO7yrw0h/l7/V/tFyow
40MPZn9ow4Zs1YkNH5qxMWqGYSu0CqWVOaRo6ZT8ZhS5hGNQ15VOTFQOfcFVYtBaqYzKpzSbvdBy
l1aFVPnNys3x6ph1fmP2ap1vkIPk87aK6I9WTpqSS8AeJLRXxo06aFZ2HnJx03bZSEJYOW0S75bu
882S9fcSgFsk1U/O0OzJd+UMtKudrvIqWOWGHrW6V4TWVBwitMWBQdMXSITs+dy8I3C/X2pstnr9
3hvDQw6HOhzNVjw7LFiYa2b9hWl/e21I7jrmqXepvSIPl4WxCQZr490kCXFPgo5KiGhTh8UQYZ/O
FSvUR/didN5VlnIMiGEnED1d6M9L53HWlKccBAz76cRioNHFnKO9gZoQsH/B6ESl7jDXb9GBSGBt
8Nia5HkEtlsm9xJ1MJW61obepE5PZp7O/Bb1iu101reBqbT4LazlvrE795goACL++hnT+ZD9PMIi
NRXgPZB6kw8Hj/XPIyyQNwj3gDRcZUgcA86Uh+UBjZPfbLp9uWe+jgItLHZO2IYli2dza4T6Ptr8
kkrwfxocfwd4/djFsibFqWtZqmoyVfv574FWc+xjSbhppMdHpJ3TJosBcNWjqfuuk3lhM0TGtqU7
IXnaVS+x00ZHjfcIakqxmR0G0pE6g4VfXnD0e1tJ4gWi/pqV0/LigCT2Ye4gGF2mL01eczW10Mwc
KYyAQlX3tUQUUFWncDagiUDwExE8INONmI17+xURNuv6zsQ25Tddy0PhmdRE5V5M0JgMLNaVSrAD
MGY9gp2fEWkSrMof2HiM0gdAtBO3eROLjKlK/BhzU2tGceknElEUt96piAd9x2vMba+Kh79+i1fl
zf8OEX6zjEjZAdmclzblvbeeZj/U4d6ij15dRO0VEp/YcRDkvHgVRmGahFbFhslsYo7r35qVPzm5
9FWL81c/83fvpjINTjtksbyS5PdsMU2c+rgKFukQKtZfsEeoPuuU2nca0N+57EC0lTNyxx4pnmKd
q9R9UimMCWRU3qPM3NZNc9Er+06Nlm9W3LwUUKWAWjX1f1UH/47i1+3yb+/gHyyDDxWl1p+YBtev
+vVKZmW+ksg0G3QMpfV6uf56JUOXhxwPJM3EpvoR7v3bleyS+02Yhqqjgv+YuP/vSnb/w+odz8Ov
Dew/msVr7s/SmY9Z/Co/QwqvW7YOr+3nx9x0C9GavT7fsGJubx0xF/epVjtPxBHpx3nMUMhpOGHc
blAv44wRZ1iGJNCsYfnseGP3QEBhvlsW8E62V0Who3SceGmTYM9Sr3meeJfB0KKzZXntHXhmvn6g
PAn6pYMvU9XTXnG946QvZIx3CfLd2si+paSQ7kQ5RtjoFraUtZxeCrbjx6pZKVuoDwO95NSSrlvD
sJo/ezpApNx4naPCOfZEi2w7ordOJXa0kAU4+8QO5PCUkxYOIAoqcpaRa0VTkqTW3rDXpbxndJim
xNJxbgoBfkNjDU3sXNAsS/zuiPo5mYiqXKJhk2b1kU2gB9KjzA764rHHhml3G2vxk5rNx7Q32q1Z
l3dW1ahhqnbKrrPj5bjEvXFMEtUJWWifNKWRB+RtXoB+zNxleWmGg65He1sbXD+14uzYwHf2o2q4
W1qce2R0536vWIuvWBa0FLfCpeldBYBQksf57SjIcu7TsTaCItW0GynJziIgtj40iTz2unhpamfy
i7wrfeCuzLzj+pjEDUphzIsJLZ7WIjvI1G1ka3thQqRU2BFM1rBjdYCjcunrV3zh4jJ15puSsTVo
VMbMBWOTgBgQoG3xA3OSu8LBUJlN004f8s+6GDsPMlRH/J6e3wyNdlvp4GuIGmWyRluiqLtJ7xBy
N1YY1fwcnAe1Tx5BfJHSYtxZFidpaG+WVfVbaY8PQ4IvQLKlIF2RoWpRqDdO7O3LotoNhnUWE+XJ
qO4SrccmmZMNwKKZ3k1slzi9KZa0I2Ko2Hrw8Lik5ouFS6DOlEf8G/B8JvNkRz1/0kcvhd5+NUat
CbzE/YbBlIST+ZEAJ5biUY0PtSbmBBn9XFxJ9saCyJSo/2ZS2W2owqGhRdV09say5lNRpNlZs9ea
t5/zijE+JEGql+kcw605fJxB/x7Gax3/F4cxsvQ1GeGPHdL6dT8cxywctVUTDkQOLdEPx7GBU9vD
MwCL3eDM5o9+6ZBMlqZkBlqqbaruLyFGv6ib2JqyFtU8l+7pI8XoH6mbiKn6qQLgOMYohL0JCR9x
8fxV1ungD1UHuX94fFu7up1a1dmWgzmiRDYR9ZjjPnF4foZ5ZivPXuGGF6GeiK9FcGCDZgL4p1ZP
KXz1i+2uRgvDaB5Eb5t7i1jW65hF9fcadC7GnCE9J7kzOx+bpE3tKZAaC02ZbiXbs5uG5OtnRcWN
oUWIxDZs2vhglFHJbKX2vrscMiROWzexpilHPU7QWbp28di5s/WcU8A8jLpFXq5MEI30ZUWB1isI
P6y5QhmgAoI0pP5WWX3+hN+83MeW9AI+JPJ1YMJKIoebsnlj9uaIEYBWMtR3I9ScvIeKGKdxHQyj
Zg43iQIh51vF/sY8aRhm5okzP+t32tL1ypsZe6sG0lxnSWSIlu2Ns0agODGGp4dEeMBwyfZoIBEa
izNeifCpIELGZjKZoC1hLCHCGOpRCdDU5FxtSgmKMe3z+Sukv4buZPS2XhNNz/a4XjuKA4Jfmexy
G7OqO869PT+wm15eyYjmdC5h6ZzikYMDoYW3i+oh/sp+Pt2o5bK8RjJZ3oCUPbUYIco4PSoOTVeh
2cNmtNp6r9RjrPmu1rOgnF3lFGvdfM6qCblp52HamoqKDO50jNOtLDo0pc2wtq5Z88V00vyQe9qj
kTUJjg0MzckaGGi5bbe3hbQf3KQuDp3SeY+12tjXyWvUoNCrdZ7ZWdUn+sniDf6T91VxRuVo5Bi0
atbfwtVw4XQDYHBFkVPIvLnpAlCL9bujVPJAnVDecw3DYlMX+yVeNCdYPEc8AioXZ4dMt4tUGvHM
1rVCOwcIT2bYa5d+Uk48vDFG+nK8If0qeoKvMT6WjDZDtkPpgwI36jYZcjRFTEGQrJnmQFqlBMjG
7DHpQjlZEvPPPDqbmMDDvT7ob55NSGJuHJ1pNO7gv2ErUitbe6uretk2qUrObi3XwD7GdP+exSqe
RtX8y2HVQ/rW/tmsav2q305iZKYUsRyd7mqR/KkwRr+yTomQVHMefihRfp1Vef9xAJhyQP5ySvMN
f9WZEhULTYZa1qIhJ+zkn+1h1r/aD73YehKTO4uDlYEZQyTvDwwc2PcJOjLOWSYRLGshvtvaSxV/
Vz3qBliHrV2eIRwCyxw9/TzW/P+t7tzYWnmDy3Fru/F93vcv0G03UDSmncySp7K1dlRh90bpMkOB
dSedZ43dDc75LlwcwscsRITMxYCEx/0jQIpPhAk10OrUfNM0Wof2oH7GxxXYln6yEC4UWvO6UBVr
YnnSTaXZFFN3TKySwYhwNtmS7mVPhIsolyctdvZjgofazDrM4AlGmvKRQLKzJ5onJoMQPCz9XRnL
LxQqnzMNZYrZW9vWU7aLs9ymHk4lXtmO/OZ+MxLI5KadjRHBzUDTj4fuw2o5Ey5CAJvTKNtWUsjO
hfu5GZHI1WA4D0uPUhUQ6EmoebURo7KHf2r6Gk64fc9mtDKng87ue6zt+7Hu7+euaB9za37Na3Yu
duMe40T9ohbWicuu2NTqdAFRaPlj7CihJcp9NyiCrrk/maY80JFUHP8cyNp3pIUvcdQ/zq41Itfj
LF7c8SVTpefnjXGB1/ZmOPWwYYT6aC+MFUbVHFgER9tOYseYxwHj3TTvhQSw745hzSXaS35ncZyb
wTjHgr0IKN2hvWKS0JIwckS16yzstKeuQvKzmLXaHSoX/nTneFDw9E6g0a3U1gn11IyGUEpGZa/5
0IwH0Vl6F9iZCtZyMlBHbTiViarOiZaNE7r/2vQuRd809FDGtzJhtKJEbEAMk2GNrlf8t1ENxkV+
o5o1SZxv3ik21oQGEcwlUZuOhv8ptrJ7ZyFo1TGcq5IgXELSx/dQbb9Skqd8Mp9Ldxrx5gwPdZ8R
BMYoMTAb67uo5bs+T29L184+a6v/z955LEeOZNv2V9reHG3QYvAmECFIRjCoxQTGVNBaOICvvwtZ
isnMIq2spzXoSVsxEYEA3I+fs/fa95Gp8yho2kEesf1nnXreYvUKKP61QDfG06QykdOcbKfH7RNT
vH6jSXoOucp+QpiJnFbHnWRa4guzceHCk0RTWfQUBklne3LqRIc8AlJBgeGXUXQGWe+LPkH0Knhe
SpCg2XIOz2GbVvXVqEGsj7PprtZJUzeraJvHRPmgB2MUZj6ECFe2Bv+PrYiHaGmuCD71Zl3qLkT3
VBpGh7hRqs4RoC6rIyueXJkkDmYrEieT3JWkuPPydiLdVqyTsBhKB3KefRbH54tZHhdGYWBkvmFO
a71cH1sYLXPWfv53X/m+r6wwgL+v8ffl/It2y/o3f+wqivFfU7dMurN/0pb+aLcwHLEc+a+WCgv+
H7vKCmJi3o8Qn0fUYXLw166yUunR5//uhVgL8n8wAQFX8GZXYSrKVkJbh/41Bbr2xu+nxXmtRKPV
H4vMxKVd5VBsq4JD49Ws0lkhQ8uJw8XEjDjKcRlkYyYCQ+lVJUAUOQOZ1+eE5kFjJ818mVKwkMJn
D9SJpGZNZoNqxshjjbl1WeQkXdIYZ6gnhVStvhQ6VQmjwxz0kzUMTlv6Floh9LuGIbrJoyGRdi8Y
h1tIUb1JygoO8t/QGai32m3a1c4hbmRIrggs3UYI/a6pmKXbCPga4ByYM7O08JVGjOec1OaNaifl
0cqz4Zo5qvgk83bV+zGNo0+j3k4wYORi5cNUAaj+8JhK5COzfMc7U1eKjApdm68UUMr7bqjEISsp
1JV07H0gR98qYXerOF1tX5Dy8Eb2ujrgoDbUfWyk/S1mucLjDhqf7SV3tmOciwtUiXRTlmSbS7p2
bS8yamgtQmI+yLSjbQWxjtH30p6p0nxs5TaFlkKCsV4rADC7rlCEqyloMZax39GKZXyr1I7iO06s
PmtLvZziBewLks5B/ZQhbjgfGnjmM9OiR42ZOCu+qp7QSUT+YhfD5TBkn7ml5R5Sl3KjdAlbfCrL
9kEXieMamE+OM5IBIARGcjSSrts6aOeCdHHs49LQuCoaTJTOjM4i1qL5sw5H6cIQYXc/FGurxElB
5kqJeqDMyhfXjLtsQ/IWQ20mV1cK491NAljopCWYBPtBrs7h6Y3nXZedhTNUb84aRHcb8/RN6HG+
s+siOptofPPZUks6JMTLnxVJxz5ezXnOAIdI1mYmlL6OkJnpgqdoMnAMuovqhGd5K5n3gyM9VHKs
Xqh07y/5+OFGygr90FWqvunbVr4ElTPBWhbpPkrKMajo9R30rp6v4xZ8/dgJyFXJMAXgzEKiD7su
8v9dWb+vrPK73ROCg/r25T9e1fUMLZg1J/28//L//99vo+n1b/9YYdeGtsZolWKbNgr4llcdFBra
ugL05S8F+R8rrE0K9DqZxuoLbeUH/ZRF2wUZIRS837xj/6xuX8XyP9btnJxRafFvQq8lO5rP97qD
4hQWjnLsJ5e0OVTCSFtKrLMcmPxZiY6bzAJ6FXMaIX2cpAu7XOldBi52kcJPLmEmKX16O0X9eWZP
N6M8XcwhVips9NjfBe7+JVnOnKS/FwUTx0LbGwl1DwF6brOm9E0T6pDB9Kai2ScLIUIF8l0UXVBU
LGfatpr2TbOj3hPfUzsZBXt1Alu4XVnVi80YK01thD2oH1HmPM3gx9wu1+cAgWXhy219q5v4ZPRB
Uil5OCbXi+zNonf1COpSW4YPnPb9XsXJ33ZUR4n4ZA4ZI7ym8A3F+oy3I/FGM3k0m6mj3DL32mQj
T0H/K1XqoxnpW9uqlzVrYxMjeXG1rtip5miAEbF33UTS7ExJ4yLm/gSv6lPRT5fymtZMlNcT9OrE
K/Rsm2UTKJAIwvokWr8dUWzaUf0lYlDvT0r5WJMUTSoTYtdw6L+aobocu2x+SWojPEeXZqGFoq5G
zxtIpa1cq4jefTYIEhE4s2GomRg1iuxcMZqRzJ+xJeawantoA6O30PJYedrVJp812cuNaQkAyDA2
cxb6/ipwDXJSYPShCdrYWL38MAfT2uOHcFsOaOjNK6K05CQMSrlLzom9yrf2OueA0LLcY/OLSZHJ
QyrcHOaIWcAIW2ckVYshB5Wu+Th2RXHNYL05xWtr116bvM3a7h3Xxq/6vQcs6Xp6EX7vDEv0iId2
gfO8FHL4aSJ0hWa6ITX7UpWvmF8oQQyo406eufHb0FbNZ4lq+JtuE5dVrMm0op+HICOsFpIBQ5Q1
v3Zck2y7NjlXOvUA1IW7LoKGKWtH9K3ckYErNcOxjUnFDdd8XIuindE7419rTc/VidHV1zzdBoZM
aq0Ju+Q5hCFC+GxN3y3XHF5zTeRd9BVip5DSaxUrDON7dK+a3EC8X7N8SfWt1nxfdPXjvVPY9t5E
wOnGaw6wZJMIDJ7827RmBBd1Cs6E1OB/F/Pvi7lOXfn3ZfLNS9m//Md9aT+9/LILwx//sZojC1od
vZaG+AdMkkw/+o96GR+waaks5aoBu1RZF9I/VnPjv2sHnXUWjxHSoNdMU21lmpqyzUSTvgn/7D+p
l3/qwbBf0HyxacUAsGBK+uNarsVI+1n59GNcPC/dcZqeXt2W02+T9R/oG8rbepwvoYIoA9FlszkZ
1pvdYiDhhniFaTgOC1IT9C8zOpg8TK+pXL716GPatCWFQcdsqEjlHhXVrm1SpCeUhOaqsKmQ2pRW
u5OQ3qQE8lGsfJEAdKHTQ9XfTl63inWWOL9EKIl+Rxv7RruMilXXMyWcwbmJnhE3xbzRAGOyW8jG
foq78JswZEq3Ijb9uU+gcetJ/gX4FWvPAsJaZ7qH4zWSHlOswr6T6Z+HGCZSr4Btpb3RrPrVig6/
fWnVNEdyu310SPAJADKvxlVdnFK8gHiPKhr9rQaEvy3PxzZ5zlT1gm2curaYyTVCTpSX1a4s+4XK
uyGqLd+ilYU3wZRvIdpHkgWHD336VmTSJTjDili4ZdkMuu1HdX9joRCRyPfRGod2i7Qr6+Gsr+WK
7PL5asrADC1TSUZS6ys9I0/LegmVUbjYqOGCSf6QJS89giA6ZUguDHtHWuCltPDnJMNCTHrqsujM
GSyqYeNCL8k1aNXxkGuLb8L5aOtmZ84Nu4bu3KfJgp8ry09tiAGqW/CPJfJT3ai9N0spWYj6LfCr
bJXyZmBu9Rt0zHCWuwlTgJ3s55x8EiM1DIItza3cJMB1zex50J1AyK3Hb7HqHnvyT/DyTkwBHX18
0CvNI5TnaHbmU9cvl1miX8cFINBhncTo4yEW7b6aBWeq9IHwlQizjdiB97qAUHYDwJoRY5o/sHHd
0ywHlzJsqhbV72JspKl9NvWeBKOegA2te6r48kwjp600L1+y3ApmK/ba0EDsNV3UsIno3iGF1mkA
uWQK092zyBIyrWfegk2apE9RiEht6vD/SMPAY9N8m6t0ZwP70bX6eWjlJ0mSbzprhvVGI2mcHE82
8k9LFl5luDUw7EYXWdpmwB7rjDm9dRszJW/qIfaY3GDDLopPjlIQilHHY2Av2OLtqSvPEui0vlST
AGaYN6mjPw51B2RIRemC1Jq3JxU3skI6wlDbrtrg+jAaIHWSYlxPKOu8AZjt+YjO2SURsgucvKZ9
StZaIDpgyJRDQQIMFikG2R9NaH9qnR7pOoUsVpLaBLxTYGrvvGKWkPGCRkpwECYcZuCY+A63wtWy
GoW2tEbr5FXsY/ZtOTVKctAvhE+WfZhdV/YqIygGtLyYtQBjqW5PAExPhYRLvMPxAroYxB2HRrXp
doZtp0GUDBcm7QBEazUAqMXYhtPiBMukKi4Umjqo+tXwXiT5pUXeMsmmUncFaSBiJld/Npb5vg21
FysjYV5TDmmsFJ6jSBJtQukizPCHK7li4A0wJjTrVXHD0E3iVbXC/GHIymsxYqjBPgr/Cccb4Tpt
qvuoUUAj1OW51dCXRB3Kf7+aa7AQ1Rj+WaPOEJjtcm3F0OKDXvqLPJW2sREfiLV6yNrRY8p3Jhws
1eWUPespGrIOh4ywQ/Nc6ZlMhkBdPzFcU70FCwKopUYUt7SbxWYkBEmzKhBR5OV6JK9lwZIk7WGx
s6Om1rsMibLSEIa2uuKmAgfzIgyfJY+mcTiAFTXbfT6PdytHtVALxPTukCNzBG5HlVw4rDkDknSz
ei71XmL9lUDxxDIWQKAEXA5wT23ql5WWkwAM3nTc0a0Yt6VezFuW/vghbLiCOuS3ZQHjGCySczbM
bXqWp9GxhMDk5ZZm7/GAxq5eWbdGg7jRJbVkcQu1ayiew3CDJ+7WDOdbuzSWxyUsscsNVbcxBqZ8
FiFYPQfvbS2PhK/ODS5U/tDFNzk8tklub9YqCRV7gqEJp0C/08eSn1jUG80uaBAX1ZM51nuSoTaT
NQdDV5GsYZ1lzXwnx2kwJshdqzq+G3IVY0LjgBjEfltJaetXYc5xZEiFW8vyk8aU3NcmvXkczJrs
pYqmcRbzoMNlRlIaao/q5PQ3TIgnHPiS46WDPAfvb8+cMl8d5b6LG21m9Qq4yFVDtWqWXx/l1KIw
OS2l5bHHv0IpvzdMcSXabvP+ZdRfX4dZD9MeRk4/FQG9tdBoictjAeWuM9U7VqWTXRTPLJetK2aH
H2DOd+NUE+Ob7To1voCNiGiyPGelujBCWIVOdhWHmCBR/Gjx4GG+IfY4/FoNzB5nXgF9gWspf6QY
/OUnNyCsKmgoV7Xzj3fIKIYqYQhcHgVqlmi+lVOYT9UH4SAOyocffwekkLrGAX2drRk86D9eBUVC
TSdqGI91FIPzNPW9VrEwyGHDvjGO6Hak8VGq8+qqBEs4O/Je2AKBzFyzUGny1ZIWm5h03qsh1pyb
kl0Jfw3pbwrJOqAwPENNFyKmomOCb2MKUQMLlffGLIi7nx1kvGQKvmQ96uicBLdFNC7kQGCieZKB
udI+S626QQm7WvWIHpsJnfCqhrTImFxKtiJKm9iERqh+hWn9MtExHUhChmmaH0j0A2BnzbheFZEe
ZMbh7jIhp2TInmCKTi0sf9F9OCjFbSNI+XWU6MIo1lxes2aGzrmKICSvQbbmzqmVBbWsXtL+APC4
4HdWtPwilF8GDvaGtWddfLIlcgQtoexmRBY5DJGgrEtgdYwSNEnmQEXpMfGa+STOVf4kFbu2h3pX
KNPZII8vGS2Nz3NubGWTI72Vx8g7l5xjerOBpkeLQp2uC8YUwEQVZO3LdN5Y3eH914UJ7S+eh1Ug
w+MAXhGA7o/PQ6hJFfBLoz/iGXjRnK7wl3rMjyaKNpf19Jn5JaKHLvYUc2JImCPz1fDCWnzRMAYX
Cafk0EuAmRf1YFT2o6aXMdoFo9lgftb3haHiDUjAqI/2uKoEdZoQbOq+UJCv0pagHmEhIj0SC7zR
3EQF+eWkuVXsBgM4GQA/Zd1szGL53FbmC8IewxuVir5CQei3OlM7zwyjesU3q66h24CjuBXmY2qb
e0TNX4BGM5ASLAOYk8xyug0dRAuYiBqg+yb0ugUQyzCrN8Y4HrI0vqEZe02awNac+0c7y/Cpk+8X
0I1fs/CY6w0CB4BBv1oDXiqHKjuHKb1IPBOIb7QnRZMelXhEmdsvWhBb8mZcpAk9SRUoeruV5XRP
RytQwX6yG/lMb2WPEeS5BfhGKMgflByPUd7faqI+OvZE7PT8wvzvc6O1L6VlBsbM5wQ6yjThsoqn
C6s0NwLHQmyR4ZmUlqc6yVVWS9meOJOg6ubAzEMsVasu0ow4l/AyjpJzBZf0W2JJDNNm2dOHFKH4
wFS2i32VnhYa2Auzg/SrNfxKq4VAjxZPrBVqNsQXEqm0GSO3CpF+JCUnUvrcKCYJK5POC3bxWEQ7
W8mfxrrbEIBeOntd9xWFXTMPBRl4xOe1Re0PTCnIq5O2DD/OF4ThlsOUTyiRIKyCRXdRFewYtmsI
+4QNdxeVsFRFc1HaBlVvn0vE6mEFnHPrTI/Eeb2mqZImwG9TJ4oncPLHtThIHaeE3PRSOALVYK3p
syfTCCyAvcI+FtPGxKSh70JrfKhlxESFfDANXLyAKS4Aq4J6C0OaWepoeR2WGM9KIXyKESsVdcMO
Fk3nE7u7a0eqEKuiR24x/wUfoXywtX3wpr4VMaixM6dOnQ1Hk31/7A4FnpFpJChCXGbtQeHE8v7a
8CvR/KuVQXtznFbjuOR0wcpQVV8V68s4Xa9uxehR6Lv3L2Sse85PUnnyvPASoV7GAvjjGiQ67AHk
XE7HRZmjoE4ImUtC9dboomofVxLP3DQS1ZAASVJk5WA3aHvMFBf5khJ0jD2CX0aRviH4u5pKzYY7
PdzT/LskI/oGWwph6QAqO/VmijDJln20KfrkuUz1B4kR3nU0ZGNgxHG/LYzh3MD5TmERzApIK0q8
bdlr1oOjOjc1GZF0Us4Grd/T6D1fgD0btXMpsui8Zdu2yEzMVLycg7Ra9zwMiw9F3QZJHu5FjTU+
nyAGGMXLIs+Gl4voqZmcltA77LkqlogP7uqP/ZbfPQ+vbuobMTguYjDLAPaP9vQcL59m+4Poqo/+
/Tcbhyzl1MhgO4+JfVOnjttodx88Fu8/Feab568wi0zO1Gg+Guop0YGi9YEcz977F1nvws+Pnm2b
lKS42cw3j95kdSLuyP49Yv+FZ9CLgprkDrzGB7/G9ySvvy6EBMlhQAy9la0W/A6V6Y/P+JwmpYiW
GlOrq3xmU/Nv803oS8HoJt6DW7oPe2IILz5dJ158PwUv5Jp94o3udtr+/S/8S1/Kq9f6beSYMyYO
Y0uWkX4z+qDng+lm2BZX8cYJHMQQG2XLfd4oHgp6Nw4cvx4D/Vj+pnn4e6/T2u3763b8/HS+mZ3n
YYfBt+W+PyL6CKAmb5yT5V5iUo/97YPhXZh+sXWOQMB2MGd3t6Efbacd6567bCvH7XxaZ77j4zXe
ldvuMoZW7Ub+PXOBI1OUrbF39tW52LV3xebm/RuoffTgv6mgJbVLcojZPJdu5dab7mu9qW8Vv/FA
1/mxT+7GpjirtqfPF8GwNzwO7OkZYS9n6THy2Hxwa7lfQu/+/U/1BqX40w39LlZ4JTZOkmpsLZNP
Fe8dN/aWHWD/WzhiGdwk13RDl3B4l/nHsdmpzzTSgvevvz6+P/+ef71Hb1YblhqJ7KZ5OspLFVhC
nIN2OY4Moj/YlNZV5b3rvFl17MTWxnEhsJ6a2h3FZ3naCfPTrAH/Jaq63rz/rX79U//5rd4eJqWC
xd9o0uEYWxknv+s6uvrfLvDmzMfEjhDmggMUEUpqSh/Qsfz3r/DBD/NdpP7quYA8aZcAIedjVR+7
ItvU6uMy2B/8Kh/dpzeLW6fkJCpZaX+c1l9lyQmk+echgFj4gF7/vlBbbx6woVq6oewY1IpxAnSN
5mbyluL0/s364Omy3qxKZhhJM805doPJ9HQHzU7eo80H4UWIUCrU4xglH9y6X/4+hqOAYsMp4Kzj
l9d9ERxlWlgn/XDUi2+rSgVMY2Zu3/9av/x5Xl3jzUuTRw4K7VifjgY8T0m+KooPugofXeDNkrjA
B9PSqhmPMos2zegMWvH7X+H7/vjei79uKK+eY5BYNqwQnmPOBjhzo7Nxlx04InhnSGaC6BK11Af4
5dUk8u5as37rV5dU6P+h1orZox5pDJOn7h0iru2KF+Vi2Y/uaSGsiq3bCAoPUf+V5F6DMGVXPz01
J+2MUzvAh2Du3V3pxduPPt4vN/JXb4T59slJWoBUIS+dcrlu5JLbwU/bl4rnZlvdfyjdM9mdz7/J
n1aK2918LlzxweqlrsvTez/Km999lDozbpyZWsInUM0nC06F8nKe+9fO0bzQtoP/RFiYW9Kx3bTb
emt70gcr9EcfwVqHgq9+JOJgJL0UdX+UzisXBM7ipl+MDTkp58PXaYd//cLaSlvpG2ANb9pml5Gf
fn3/0fx+8HrnLlhvnpNs1EAWlzya7WbakMjnJmtVt8+823E/7fdkzLvLsS/cB6bqfrGpt9YJuJ4/
BPEepsjzRwT17weznz7PX6+78eaW2JLDbAgCxbEJ9K0JvcefNstmuUBD4H6O9uEm8+w9BB23upg8
6y6wqQ7IUNtmm5vEX4uE34uDf11s6wj670f3QI1g+n3pf9ZgrX/3x9ReZcouk2CHm9LkjLAKYP+c
2uuQqogixaOBSgst1J9Te11hNA/Zat0zEGApaxv8LxcbXgyVPF7+VawXnLb/gcr1x+0JbwgZXiAJ
bAUPPcN7jBg/vF79AJfNqgxxYg4UIbiar6vuo91pBZS/XkawRq/5XXjzaUiTeWq8WdsViZF1mnX1
SRNOioNHNzogmrGmluQ1rKl8flOZU3a1VIlpH+M4th7byFKzK1s2Zo/Uw0lFjVMTwVLhj50uUIEH
ppYwb1Jmd1g0b57zU2hIfl5J+7lzAM5VN71cYwWIlWBprOsp6XbhjLciph9UJrQTDb05w611KdnZ
p3zOXiSQkENd70HjPc5jqnhLEl9GfRfYak6MPXMdZWq/tYO1rRnoEG2lW9uk0QdPIv6TY7/YNSO2
B1Jg7uAyN1oHSK58jEx5L5OfgRi1Pmum8mveORAaGC/Spf8aMlqnH1XTupPpHTRdu4GoRPKLJXy7
RCvVilVub8mf1skrfgEEu3p5OyrRWaiqd+0UwzlI+oesoHyJZ/G5M/WzWW/LTZPWhzKeBDNUi1C/
JDS8sGpv2gQ4pKVXfRDN2qGISjK9O+0qF1CliKh6lFINjZRFSrVqAZBU+28AhmHjJWqF57c6lZV+
bolWD2qd+XqeNenOlOmd1yTW4LAeSkAqKqLVEZuJXi8PSlHtNX5Otxqka0NIJaO1/FYUDqGzdvYk
Na3uqpieHYR8x7wXihdL2RlCWHDqSsM4045QAn+m9tg4KPWSQqiePjWd5+TlQ7iAWw0bm8CjSDlr
bVgi/WhtmVR/psXEbjhjSbT0zzaRJL6dJt/swhq9CP02zVvnNmrMb3oiPMQBX9HWCk/p6CeqoMgV
dHZVVJxGtfukpCk5aesAUsvKPUOMwtfHfpPYJoMRDRWb3vUi0CWZeWU5nBDN3pE3Bpsy7wE1xS1d
4fgmmnrQKZxovDLUEFDTfBwji1xYfj/HTm9UEFLZiJprcsaHDBeem8zmtzR1ng2kv9A/VQ0ON3Zr
iZb8AbV460VpUnusK3fR3NyUuoE7PEOqklsEf1XkxCnT9Dym+dobb4bAFtwPTBJPmRnemiOEyDEt
v+qKMDeYHu6yKL/rklIFR4s8bIz6Q2FJ33rJfgJtqsPJiT1KJbq7U1g5C1hPE1hOr83ZvlZ5+unQ
tYyZa+6GszhKc2tEgumBSXO9dvLsLpM1Z28sU3oyNXHbNOpOWuqvBURy3Pkk5FX1F6XHlAg7JwqG
3k42mYBS1ybkrOg9XElMH515XzrBtJ3jOb0ogN0nknTdDqlToAZF7OGHBci3kT6zZE2V3zqE9HY5
+o+F5zfS6u1UaYiTjcKzWsoF6KE17ybKRk5NlfUY28bXRJ4al324Yf6nbAr69GNMBIytv6yZdIQr
ndE/fIqIV17XnOu2VALyBq4rRdsLsrGgfPqmFN2rGeoR20BqJ587IjrBjT/NRXxYun6DpcoDu/1l
GHGBxlbqZyiOAuCVXtYgcu1aiOU2Lq56PFogw9omY160LD7oAwH2gFFGaktuKEmXc9/eF7i8glDt
vkJj2KjN9CB1X42BJ3E0rY2mQ831QhhlheuEAlhbOsySFMjjbN1bRLxtm6ZVvTSakKfadV8fM017
LCpduiGoL7DGMkKTmbJuuVml18QSgk3e9nPVEskLz9TWivuMmWLbi0ch8vuukZ7kAnI5HKflxIbX
bNq8eWlUZR+32pcptC+bhYNXjqQebirqHKRRftIQ+iOlebIplsK51Qt7PkRFfJNE0adUJYVaZMhF
2mW2IBySxxWCkvD0Pn4qVX5FEd/SF0l9R5POhrF7HJRqubElQoVDCdEBtlqa+wl7D6Yq1oBByk2/
G+rlUupt6dZMNUINZ0cEUQvJnbe8ewidbvD13ip2vM223+S9r5sj0gKlF9tQhVKtkSe9FaUce2MO
RjHq8ehJOQp/gZx3DTM9oa+97vTYa0xlmwKawp8VEiOAamsxldvaqB5bZbqJjNbcO/rwWK3SL6Yv
4QfYo/V48KpKXDddjO74NU38K5Yhv9nZzXyoVVtthlOFA85U8AHfmnxqA70ynfFXdc/pt3/1tTbv
xyqCMkWFX0b6C+N/cOXK2wq566qpV0UnTnYYhNl9MzNCvv/fLrF+hFfnAJE3eS6GXJxqXkxM3G48
Puv1B72/X34Px4FSRm2FxePNRboYOTQsE3HS2tuG6lmCsr9//3v8/LNwq15d4k2fox8qO0KAJ066
fVM0m6WA3SkuS+slnT+40pvj7W8/yqsrrZ/k1R0jrNkozJ4v03BuU0rTi9WzoTgIhlfF2cJB6v0v
tn7wH583gDVgc3RA9hCY1lSZ15froxQdXa8IEL2PyjolM2+j+HwuHr9f5t+zhswN/fuzhv81/88R
ZfzXnw8b6x++OmwYHCRIM+Uho3nAUfXVYUOlxOcN1RznB4nwd2QGLA0ZdqDOT7h2xP84bCj/xTK9
Bu+aJpm4pGn8b4cNxWBCAixDdlAbfz8nvHoimQunXb6UGKuAR8tZQpZu5mnjR1IklrGfn0VchTA+
NAcpzE8iIQl5ISz1TJwMAyhoH8m2HhjLgAUKQWOlRhlpoRaE6L66pLtx0WT1naWiSSGbfPJEkfZB
1ioZClvD8ZHay56GrBeUDycK0rsfRUdEfWHHcGPXEIC4y29qLuipdX6qZGLgsPSxQzYqs3VpXAkJ
xQqYt8+bYvI4AQFEULrFZ7620ygrYfiMG5XYeUhLWEI6OBG1xfDStg5sEI7L13wEj1Hh7TVuNFW7
lorpKEnGEUns6MoCqLZpO/vWGY8iLEDZOcod5NAcSMZI1vnKJR3G/sqQlo3QhwfHbr+qkfUcFfNT
uxToQxmawxZkzE/euQn/ZsOga2c6YbvtkOV4WtveoS3YJbYeeTneWdqcn0rc6ZuxkGvfHGdkcSvj
QoKA5uIPxE3SL88KAZ6YPNJL3ca/gRCG/r3mN6sM11Lu2i46VMgCGfnO11YzbDEd7SIzktweWwYf
VCM6ty8JVFCNG2kGt1j06Awt59npi0AGLjg0mFm6Qcd9CAqdxjIKjS7dZtbwzSbh3pVN4yCNBPKR
61SuJ0xPAaGnisGbZuZQIlYoNJX81ORxutE00Ci426IojNxe0bfOyL2NVw6IZBqjX6OIxqlEgBry
0XKZfW3p7hOTzJ6ow6ys9flNJ4Y9qvGRyFv5M01mRF5ivs+TxNhO2nKpToTudHE6uu3SflFy9Ysq
cpjEk7KrcmdPKpcCoFhsibW4KjLbB2JkXlgaaZ9mXn5e0voxtpDpFGZ1Cxo4xdptZTsxaFvLQhmq
hRuo9Q4hicWE11IXcQA+pXkp0ypqN4stEUFvmAhxFXnKkLLPaht1O100pS9bYqPYYkXUt/j5clzV
6qx4cqgQeah9EbKzTwwFnUvVYvTO6vE+M7QVpC8UGSlYshJ/JyXxs5Tw3VrfKWRS9DIZHnbzAuD6
Wsmkr1QqmdugCK14GolOGLFtdb03OcKvREbkZ2EQAiHGC7uFF70Wb0aSQa0nLXWfD5F4MlOrC6ao
PkSJHHodLDKSmtxY7y5qQorHvtsJ0a8KTUTRTuqNqXxK2+qQmbyyWpmR1Gqc55K0X3K6pXEUxyh3
Z9JJxuSLKWaYCyLV3GlQruPe5KzQf81AXwMnIEjArB9FGxANto/19jzrSYE0kaal8jNIqsyDVdq5
c/6c6zej6Ih0GM7qKnJzCcM552t1I6+JHTosHQRDQtN3I6e5VolBOKPEQkJLzqWs0A+JRh2pK8HQ
UyX8UGpbVxf1dgBRMVfiqa3II0xm/b7vsZ3WUqo3t6uLKrJ1eAzV93PYqw3mF0Xd25EjBcSqGcYF
jZMafObb3lAH40APZ3M+CTCSrr4Nz6ab6gDvwJVeyoc6yPYU5G54Dp558NPtR5PsnwsKLu9Y7Dsk
vBjEGfxYUBCubYySOSyn0Xqpw73DANCZniVU9u9/z19dR5Wp+ZAAA42S39RJTs+elUzjclJALWG1
y/OvTrRf1WnvX+fn4vL7/aT/hYgFG8+bAqlp9NoYlFhGnHTempe1xsn+o0J89Ra9qcK4yKsv8+Yi
QyzLnZqtN23T3ZM3Fow7+Yvt2wS6HfBpR+51GxBLs1F3d0fbz93jeEg2910QBlfpmXB3eAAvep//
0K82/C+4f/8eqD+Xvyq8F/Ii8dOD5//OSH1VAuQD+MFylpUT2T3H8EoO5IPyEJ2pwpO8geb02ZOy
nbxjsxE7lIDFOVqvK0JNNsL9vY3+byG5spr/vpC8GYikan+uIte/+rOKpPuMh0zlN6I7zcv/qopU
/suhkugp/U9H8R9GM5g++JEcNlqw1ByfeM9+ryI1aA4g0mSZClPRQDT8oyoS+sIPDzlaG+pU1gas
bjSW6Sy/OaaNKtEkjeTMl4bpdBuUSmXQ6XJHUJLGrgBuJp0MtxkNSfKMsKwPQgw3cGi2hp3h32gX
MECxbFxMJQ2fMVUx+HT6GeUkDY9Z6zaqAgXZROy8m8amvlJ1vC2Yd5A+zpGx7dLq0VmU1JMM+XPZ
kISoxMtVkWBTCkWV440ZadpE1iXp5KNXViOG1trKvKSiKUZDEwdsEpVeWahXmSbl+7Eg2qcIjUBu
Y2NH9wqygRZ2ewUVqE18Q2mQHZVdwxP+KrLmpoJlUxerV1c2pX06SdNZ5OS5t/ROfSkP5jPrw7XT
8K+ESnbQbVn40Bb8biLRPRTOAWMvUq7/Y+88luO21i76Kv8LQAUc5Gk3OpPsbmZygpIYkHM8ePp/
Qb6WJVqWynNPbtUtmQQ74OALe+8l0sUY9Gc1me6zrrwjVOgQhc2zqqDELjP+2IlJa+7EFwaZApip
zcupdF4npnnM2hOYc6I/SBsevZ8OFWgLtl+hNa5d4b8kZMaRWlYQqdgQMVrBkSkf44g6056L5SjM
6tVgyi9TJK7IEuL/OOV1FAYp0TF65Zyar9gVZSawQPFkXqaiyK0Y7mHPxSNGTjacB5LyN5AmDp3m
Yoib3iaHJDrT7g85MQaM+EDiNA10gLxryqWRobQnkqDcugGOt0EYD2UHpGIGT3Aor/oZRdHINx/5
LbbCdilgVYDAfu9sEn3tGWPRzkALbUZbODAu/Fpa9LdgL8q4PIdwMJwZiKHNaIxwhmQwSgIvDDej
F+19DEejUwFqWBYRoU5KuGW1NmfkRgh7o9Os8zgED+0M5Wiz5hDMmI5+BnY4M7rDaUxQG0nQevYM
9rDTPFoVM+yjmHWF0cz/gAOSfAWCQAbxBwdV/wwLaaGGEMkaLFs4IvYMFGlGhRxxxYd506IoHtoE
DXxgEOEsOoCE2lR64wwoIXvjxp6RJRM5JnDVs8uWeMwl5G+s8eOkLKJq1uAaBhXVcLY0pnGIHBb5
mDkrs7EuMkts4R1D1Ajc45hjbk8VYS7tUNupAesfPCqkIQ/45ZFMHotR2dUFga4E2L5ACHmIYaiU
Esuj0Y0e0uQ3DqmrWgQZ6xDnqh9MdRU7To2vIO8vXEkoRqm/xnN+UFOGW53cvyF2ryCS3kA2iJfM
LZ/SqlUXjWIGa8eM43UZ1B38Q+a0RXUmFTGFE5m8xRP2SSn8zdQRSCdShXLdIMbVDaKbIgwIFIF+
tlLK5AHy+YNWh8BJe+NzrcbPuYV7iW6yXZQFoR0M+y6Z89zHtXLAMrZ33IwH3WiurLDc+zjq8VR0
yx6xMV4U5amtJAGKxUVRZ+kCsBVL48B+bCck3Umgu9u+tF2vydxsO2h88arGNY4iKRzFq8wpev36
NPjvsSjYSv7zY/HyLX8tXqKfJUTPP/jtySg+OYxQHAeXtfUHfuG7+cpsf6aoIZiUJDwqn/89Gckd
JcoIhairk/TG/IWi7Lsno/nXjvffLHKtubT7YQCnmjOjkcA9kKpMYT9sWe20DZxMBMpRU0DTtCjk
ISa/+UNIFICZWoQGqGtTi9e1DEjVIpuuvnbrTDkLe0bwIG3P7esgwPrPwEHqXtdo9YPvRLZ8MRWH
IN4QY68Q0tjEFWRTLM3TJmiYXTegKjYAJOsFAffOZmyjcdWXikuTIx7zMlFfgirNlpXAklWE5EAO
lCiLPuhJcSz4b3WbTR82vPoZyCPMlCB1vInh5X7I7X0cswYd9HpnhkTcNZ2y6UT3hYWwuuirOgRR
x9oqFRyWiryUAdLRzDZX9Fv9lZPTnmbQelcEyeqbWvI8kDnmnzoZ2bg6NIaSBYoTCGQtfl2uJn3w
RIudDEKCvgA9icHBMeWNpj1EgAs5QJKrqApCDy7nmfTpHEO2RkZFzBJ3iI5DVL400UCYIK2/0aZw
aXtzWNnOOG3Y6Eb73MbRSes87hLZqKvGrDAQ1X7NQ2FUobKWjljwsShHlqtyYRJEErdYktvI2Ffz
AyXpi/E8ObG9yZE0n8dePWIPDLduMrtMwbAT5jZN0RpXae6zqchZ/8UxZUztc8RNwp43aCNW78ax
5+40DCd74RLneoPFqtxAIi7VFV/sfJfXPUHSTRHtfUtxLiODzKkFsdz00/xwfqlVnX/WuvApDVmx
hbn1OahxPg1NKlh4uk+JBgPbb8t31c2yJY/Fi9QPWSjH8piqCT5tmb2Hk+lVetAeyQyQID8MiEO1
Q9Z3jv1B6a1d3Vf2XpilRjcvCYKd1UdZtjFC/setnaU2mggdDTkIl7jXcuAPaEU3hz32POIve7NU
9pKhkIahSWcSOGsOalXOT6DR1JcCM7pXxml7ATpS9Tq+aMe+YCNaV2Z1sIyCOURBZgA7eLZuU7ch
D+yZzFwPW6zGBmJs9sOY6WTPBtraNHznKgHHoGTuK6CiCyvOzkXX3fmKftmUtugWQimvJLLiHXwH
+MfFtFVMPHNZa6ZYAX1/5ThvrTIeotQ+4H27kCGB6HYcghPC41NMa17z0ZE5ljYCFnrlQNd6kYVO
sIw607/MnZIgWnBH6y4MbkI5Bkgl0l0do6Or+JCc0N6X86hQAR65EInzOSAUj+yw6Dj2Batn7IAL
pe2zpeNWmMHSHY3xyiE6NKudxVAk+PScd4tMGoq9dT3Za9ZrQBwb+kShXpcwQ8Iy3tlklLkDQ1SC
bxdha4aLYUzvHNLchdHdsXqGlQmv1Tr6cDL2gCvey0q7Zja7s9m3QUxbWS08FTUcD1i9ljgWP4eW
vrHqfkW0I/tPkwoRP7RTiFc34R7O0pntJa8NIn29rCovZTURVGUsSz7jLO5I0KTaCBhF9pOKR93P
XiYpb6k+eGIn8Q6/8WkqxmM2J2PGqKfGYgt0dclBiofbREyZj1cSkIaY5C73Z9g3Y99JoUpItnAE
lsShbK1mXNMOzDSn6MVyMDcqZAF37jIJcfaXxTEvVYjMarFBcAjItgtOgiov6oPtSCA7ocAXfS/X
Mo0+V51gyDYuK24R+p8lPiOPof3Sb9O3On0r8K2OLeYyB6C0ilBgyB/NyvYaYl40g2u0Na4WcWQ3
cNO01togD8gMxmtjdG/TeCIpIk3JQhjUTUbmoQvSazGzE2my1lQp77KK4FmEa8nWvAkdz3KAiwVN
uNM1uWW/86hq7X4ynRtq2UcnbK6DXp677DWX5Vulsl4kvIk6P1pHFsp5X3pJYBATLVnBh2cclJdF
r1+DLXnXlHZGdDC9JqVYVbeK22+dRlmrYXoTm8VFS7RnzV9qs5FdWGY521YPjdqtuRWvGtdZa3qz
133JBSHDl7xhFJoe1I2cID3xMnTFI7/KWI+k+TDtJZqe9EfPDoelzIfPTd7Q3SiHtC12Ezy6gvSF
RV8nrC15SISlXy3dEIx8Z9kb0fYPuNefW1AtsrR3ts0uOgQzRs26xam2I/cTN6Ppbgi8Y1KoPhR1
fF0o2sY3xnXkd7x37gq93tZuTb6d9obAq3NepIeS2W6vdDdpZG+d0T/6+rTDvr7vfe0yhA9C98Je
PJWn0ld33GBoOZxzXLsXujY+lcj+ZK12+AGdO7+2zk3dHPPGvO7GQF0QkHfTMZjtS0jEc8Obm+lF
agbEtVUqyMHgsp4Pqql4lEl7ECTdliWClnbARYcAd5iLnvzgl/ldXcq9JsjYFEZ4VHxyjwIZMexu
DPTZot3XqoqVk9xRiMWKEr+GgXUXtxkufxQTC9dun2agjDCIYyiCFbDUVytjqNpWj0kd7lgsHzlv
I5pfkiiG5kBBy30Jlm05qdpTaDbl2tWT24ymaFGN5FXp2gmcQrxK0BDlBLqsWX5v/cRaDkLJVhFh
I31DBxgMwVKTwkvSGO9XfhoDaxP7I3Gf8rVUypXSxJ/b2kSgAjmOHHZagN5edV2wqkkrXypUCEnb
LTMAoh7ctG2vOK+4p9ck/23IhFwjFlnlBcPlrIlxpozTeszyg2yxirXmbcH0mqiPcpmjG2ujZKmE
RHLnAkGMismMiIFaK3ap0l5OyvDU1OVL59SrICbtyU/Hy97o6mWm8vj7rqT9yUT3bxNIKkRmNJZt
YEJ3AWv+OFFth7quuyhXjmq2jbBjFsm1Ev4Oc/S3Cd/XixAFoOpEvOhiHrd+N+GLlIzFi6Epx5Hw
jmEzdE9j8R7AuQA19+uX87OCd7Z1/XmlD4Pbwi+kNvlcSSAaNGZ0MGK/aVdY93H3HNGG//pyP333
uJvwMTL8Ir3rxxcmnALaZFoEp155brtDFbzk6cuvL/GzV0S1TLHMZZiYfbiEj5tZdWUZnlC2xcOm
k3KVhvTnwSYiwVK0v5GI/OQVGVjChQMK1RCa9aFj6HOrEVJto1OUBwuswLAwN2Xym9fE8vhjW/LD
ReZ//+770PhKa1o+F4nZaLT1Bcnv3q/ftd+9jPnfv7tC305tX5OSeKrLS2sGhhKGb0e/uQjj0F++
jA8fTZnMm6+siU6joi9Cc+lGJ4NUIdd+MiNs1UfRNb+54s9eFhsJVdiMMU1LFz++rATaXpRD6D7Z
1Rl4C7DNne2///u3jigKAp/ZkyPi+fDW+aauWDA+4xMJAKvM8mxClIb07tcX+dlbB+XQRRqi6RBK
P1ykGELbjiLkf3X5lFsXKH45bENUaTcx2d89hgv/N8aF+Tv1oRXmiPvrih8+LNDqbl1qMj6po4KV
+gFYxW8Ogw9+lVk4jdAC9bYAJjLrGT4cPk1hhEk4atkpvqh3aD2XML+W5so8h9fmEh3s+vdeiJ99
Ib5/VR8uScowefFlH596ixUtTiXhcigU219/Wj9/7xCJqLNsDFbdj187awKP1WZqfPIrdym0wzzI
+/UV5nf/46fDdoFvmwu4DQDAj1coG4Fuu1Hik03rKx1BtfkcGazL4/g3r+Vn79j3V/pwwNERF7Vm
W/FJM99C52z6N9X0m+Pt55dgScKqkjvpo28t0pLeMaYgOeX50ewgfBC6KDrrN4+6n91CfNm+XeXD
R5/UfdjKgKtEyUuqbEn1WNUG6UTdEjyAkmxS8zef0d9eFihOQGNodHgUEVjzoVQgBdguM7tIT22/
qernwVpV0/WvvwZ/+6J9uMTsGvju2M6RQOvYi9LTMKGYUQJPxv9DevyjDfnnl9Ax2bHddZmz/XiJ
eBwzJaXTOjXpizLt4Bf85nP521eZ10DcODIik8Gb+LjO5OgkHybHp0idl3XmMox3UUxh6r59fa/+
m8rOstR/nspu0rc8//uucv6hbxNZ7RM0BNaVxB4Bd5plh98msuITbnzGrdw5GBZmWdtfu0rA8MB1
Ccz8X/Llt4ksa0ziJfk3gQ50vuX+jeIN/scPhx27SqKqHJWdKLQTcp8+QqJy2dhi7Bz3KDLwC7HJ
loVo4Rn7rSt5KGhOssZ/dmcyONHEQMKzmRc+EcVhxe5FnbvJkoXcl6Qq9jTlCxZKwVoaRkEupJ6O
MyKdpnEk4a3r3XPiDO9MOCI2YM5ntxMI3QUCpcgLzGqjBhj0cv1qLJWtEqVfzJpBy7x3COLhnIhZ
RdbW4Hisra2Krco0cKETOhe5BHFEMZ57zb0Sk+pFAgkxOYkpIE+5lVpfA5bVvsSZthhZuu5qx34s
Dfgh9fAC9/YSaHtK7BSv7cklBYe9C64Es3irpTO3Zyo7EGZFoKqr46Qoa4Q1+VL02pYp86FP2KEO
LYYFdqU1GnCGk6ru8GqJf/aaYnrImv7SmbTZBoAxtU6MGkIHFZohNrHeBes6wZqiYSeCb6F9dhIU
PIi02fsRC6gV3VM2+s8kOd+EeXEcJcJ2hV3sOmsEzZua7waCghduxPhTQ6PkqcOs586cYkMqIjNy
hfEm02BESPKcmcmuCYjDAa39KjN4KiqSrEVd+PdOiq6H3PfPuehgJGraeyuUvdZ3uwE+FKml7I7d
FldGY+dbd+gGdkEa9A9DIfjOai8IwnzLlHx45PMEO/M8ZdYl1ScS9BS5bbxXLf9maOJ2WQ8k2JPE
41aE+Ii8m+A7JiBRypQsRIsVVeJWmLgJuEobx2A93oebiGUaqMGgci8FJPI9HOF+I8Kk2PG+MBE2
5uFw6DvujZ/4zLRSqRECWhWTte1N1gFlbRqplzJ32GhytrTYeS0u7DTtHpzCcjB7JOrjf8fh16zg
WXz0z8fhKv0/r6g/v/6EqzH/4J9HIjnBDl5DlRMPMQYrqe+ORO0TjHBWUfTlWNLn0/KvIxF1hvHt
RPxxSYUWDIGBqXGSWfgO/82RyNPx45Ho8HsozlX6AdgfGn/E9w/+KvBHU9H65qgaxf2QS7SFeuUp
yJaZwDb1SZn8AESkVTyaBtt410wZothI/p1sIqNX6XPwnLJj2YG+TvWNB+5om/Bfh0hEys71ZDCL
yqIJjwnblWVrdMWq8l1UBE0zXMTxdNO1aDH10Qn3VmnfuTiRUATma2siWhI83B5BabCtdRtO0vjg
DxbDwbi8qYt55atE7lZTaf4NRIy6elCy7gpOAiqJAJQ0JAptLU1cM4RmXqRDtJEVIlEIpIdYpk9+
K/atVTaHcJak9EG6xoZG7zDgRbJG84tFuvyWHFKCYkdTrt1ifLMK6w0gbew1oYuOo+ov3VF/zEWR
71ExFAtotZ9FH55DBCsAO8oXN8+OCbl8JGnYDJ6sorgfY3KXkI1tEs0vNmZpfebcXQdFes58WDmT
mb1ZqbYaianXirTcQCZ6pTi/Hoii2hIV7yyy3mR6ByfCiyPFWnXKCKVv0IHkifvIdwDHQphmxvA1
xbgg043dAsTVDem4MDraZ4AcDPD0ttl0ZO9PIBKR6UgORqLBTmND3nnZjlO2SJEzuhehUr5PXUh6
L1bMVRODRSpGzmZjSsdNFjEirKLY3ZWVZKqciDstYkpSSgQZwgEWFST606QyWMb65Ha3nZUGVy0C
i/2EQ8ld4THc8gBaDbF6rRWFiUDUiRd5hI4zUaP7aDBLsu/YLekzvRYpD89aqxw9s2BvqSjFKWBd
s7CaYEO49q2twBwY4vq16xC1p9be6HLeYhgAfjw+lGb0auvZha8wb8u1imaXkMCFrXSfjayRy9jQ
nxSRPiONJu01sDfSNUidCeOtUIMbrLmNN3YsNITOkTs5a5knHrAwj93eBdiXS61TUJpLeZNN+Tuc
LmfVd47FxFz2yzIJTLLg4hcS7B5NYa5lOF6nYXshe+XWVMLnFqkjAm+ynTrlQErvlar7d2MeH+SA
EqHyxX2Q6WQb1P6tP9qHNuYdKkUAIL1Ec5w47hUjzSffHu6Qg02LNEBuMSrskexI/cJa+HqoCcUp
67Xw3WDh2P1x0IxrXfJaMj861422sxyCOBxQYUhjOouMN8VkwNzez1JzmIBXvWEew2ja6nXG7DRC
rN7IR/Z+ziYOFCBoEblOHHPlIqgUQAyyQPc09oATovqxbrK97hKnpwOaUaf7Lg/JDiMOdVnpw47H
VkR/W6iLUkmvmwjRiZ65WzshAnGyHOb+MV7NCPQxaplmBZ4iW+N+3E6GiBaIpOJdbpfLsdHWjsBd
OZ+4nFJasUqM/lR0qMcFqpN1x4IkUCWmWLXaqrwFnElnXVqXcee+mIhnGFtad8IyLnWjisnjldqi
ZwSIqZUjrg4n/JjqjXDzdWqHtPszyLahGHQ1M91mvU7OZksCY9ZaS4vvWzcFN5pqfLGzNPcC4Vzi
K/U3QUBhhffiGshpvagClnlS2F8EKNKVlqdsUa0SLDwxj1nEkJqTdJ1E3XvdTsxoqongwVq7zaMe
pZxmRy9lqKCP60G+NJwRUfQwhP2xdsNtZjrvE/LlVZv7qFhKdZmwktOWUWMq7gLPQ/aQBYodXE7k
frF77IsVtfvBdOpbV6IHqjMbuMJUPEP+cTEZ9/qiTaZHv3fxE/XNF6sFmjd1NaO39CoMtKNu+s9j
071rHfnCel7v00ms2DlBoGzNc5dMlzhyWSCpdcHrr1ZOOl6o2NEXdUd2EhokFRV2d6uP6haQ9T4t
4nuoRQURLY7NXzM9Au28bCp5n5nDmVjuE98H3oSxu8sS7WoyoVW0qIIWPRDszoYvOOfs5rq80qxm
r47xwVDHu5wFtW+YJytovNI1cggb3NUEUxMKaiGpNw0echZzgygmyC5X0f1wxnroCbZ5lW/ruIUB
lzUcOxYCI0tHG6D52HI1Ypstdq7T5Kg7JRl2eWyFXh3RGyBeEDvKyoh9X9ytCr0k60ato8WAtZ11
BRYPwUT5v6rsj6qMCuWfq7J1/db8TDek8lPfSjLnE8MhTHEUZf+DMHzrUtVPLrGI9KF/xjl8K8ns
T8Q72MB7vlqvvlZrf+qGzE+YvHBamjbQBRa7/wrdYCPA/X4kR5fqCkRDJE7YGkF2ED5/LMkSAGQu
wHf7ykfWELRVn1+2g5CEamZ9WRag/bpp4wwNwethFoz3hRuq0itYnhHMH4dPo97cZGElvZCgFBq2
bgPCxMNDgatEzQVmaARIhRt/wbIecaOy8ZMKhvJ8Mq8QG7d4XJSnYsiu8yx5YHmrJefWLsObJIno
h8ZFbvvzUh3cphopCC1yZ0DgW63QLwVPsmzDk++HkXUKU2mfzBze2NIY/ElfWGStFp7pZ2p+a9mK
vvY5p4ZVM2o+9GSlCaP7jgdxv0qT4SERbqjjvyq2URjHkkdwfTnExn7ozGszMKTn2/m9OqW3nUGL
WYTlC9S0DGUUiqR2ipb1nL4PdSzMyUiuFePK6sSDNY73HQbupU5BqPSKp2QcAUE0h6mXpHU7ctAW
TW4bc1TAg/B1B49P8iwC84Z2/kgLZnroRl4R5txmnfGmGnG0ajLeFNNpzzZx99zPKBcHfj9T4TJ5
lnrAc3KItiq4e6+abVJZ6txWqSbWRZ7kQGHmQPVYbEMoa3nf1142RAQ1YFE2s9Be5LU9LRo1yVck
rqYcHHKvl+Lsiy5bTnoIVcYQ2yLBJCQcUlZdOYqd7ImvVzr1VS1cz+mabKn4JimydrPJcvcz6bEH
SIDQ4d16GTn0tfrkojKlvXfDhjW98mq60zpVx13pl1dMIUpyWWuvrGkziWkjKhGSXFugW7Kigc28
kr0MoTuC6kEA4ZqoCdzehkZH6c/X62xoVbtoneKqNWOFutE/pS4WuKDAVRZq136JNrzjibpQx9pc
xmbfLPm+eSHu7A7jOeradt/yCbZNtzarMNqMJltbS62K1ZQTe9zL41iZD1rTXrltdItQC9G02txn
QXgdGmHklSp862CWaFutvujD+lra/i0s8PNUkQJAPHLpSW0IGC5EAEZr/9QhzJWpD9NuVF7qSgk9
1SiTjTR5SE2amy6HDqZTYDZwn1Tidg057YvSPsYzvq9wSLAouxzNS4/yrDKGCzPRXtM02kedk3p1
E11acQkOSrUPkNm1jYoSZCEDtD7cAJ6hxShZywHqXHt0a+OxV0K0LXyzFrHM8A53+nsmO3Lly+K6
m8plC8Zj4p1Z2PY4LYy8mJZt0t8JhrlbxeDb6c8lXZNGb6kUEw9H+9EczBuB/2zXF5jm01rsaBMJ
rnccItoVgcYeg5+aGcZ6qOJjFFjkKSTXWdpfAS5XGDnZGoV2sooy9ySCnNTolH5iKAdchfUoF1Vu
3Q4acC21Vt99YTyrevqi6uauGnSe80FLP6GIN6NR7pvYdpdZlt1nQyvQvHU3UrbaJrKyp0IaSI8K
aaK9lmSH7m1jtM567JS2FzVIWWRYfdEHUkeESda8YpMvbVaXFpKB1ZTQXfXTl1oXT5Xj6ltXzTFz
uvZp6noYvC2SGqO2qM8NamAkJi++ROqv2i3zJzLTHeQByHoKUm3sBOlyqD/DOLhps9aBTOJAZu/8
was77H9xWWIiiFRCGEtqTlN/6ycJg9WksoxF7/V+YW+TJCcNAnjrgsgopJEqHdtgDC/YIok0awx9
q/qDeRWNJiFWTUUAuCJCTxfV9cBueC8du11pU49sIx/5nKJ1G5CZEJkxwQlxWBITMuxk5j+jkSKa
SzGArdt2sBh1vq1lHb9Ydk4X5sfTysz9dWDokozuutoVpbFOQrK1Q9tK1w7c8AXn4bTJ4+q5JgAj
J6MjGPxNQcl+DpXIIvYZzqJsBnWB/dNdj0pO6qUp/bOFvWBtV9quCvQLkGnBus1iZ0OfHHgDk9ml
30u5D7vuNanUeB0SVbMXpR4vzXKCxTUG+TbM8+luGjI+m0Eqa9PBxapQ3C8CkXEitv1Oz3ymhZoD
zMHsD0Hq7n13OijRlOFKoL/xk+lcZ2SYhjb5E7Z1MTV0emE3zc5b9DtdeJujH+OBqKXrUqcO60Kl
RmvTvpAN3y8y5Fqb0cF8LDXSuR0xMW9Mw1Mb4ZX2mbkmRdQj0ZkOeutf+KnuJdV06qGgrfQYDLxg
RrGI7PrKNeMXJ8++pI3PQMJ2aVMtxUR/b+4L3ZEruGBYBslEWajqcK91yeciUU5pHd0kgVIsUTFb
q7jWrEVtlG/pZL8HmQrtUTca6kqDXxmJ3BtSSDzoPBZ9F135blesdU3tvaGqEUX5ySEnYnsbj3Fw
jwLRiwb/CdwKrQu3rp2Sgpi1T+ydF2bYXpVfnaxt9gIM1F1pLoNQN0vvEc/j047wqQpFOaPbUz0y
Ni41qHOLokgOaU0lYvBMNZWeA0zT3kan2dqdf+GAw0TbLPfM0l2vShRG7vlDJuurMcfoY8kMG0EM
otmv91WjHfBhvCql8z6MtI8WE5S8Yr3WxG8Yt9ewTNtNY5erpuRfh0K5V2P1YgoOGSHrdWcjykoY
s8dfwobDt1cYZdf2rosg85gtwszGqvdTM9C5JXw8GZ16zOhnnPg+k39NWywAWQOFXmBhv4nigP+Y
A7zPtIuonomwasE8httuQ+X2TAW2i8ZiXVHp4De2kOFB1e7K6GhVDuPj4QFJ3GEsRxwufnxImFpt
9Kx9MQL3IbD9nDVCdaXa2WkuYjSdB56bB8CVNTiBDluBJLqrh4F2tFFJNCmrUxm5F9ghcMBb1XWn
sKu1WV/g6M42XTHSl4qZsj5kAANA/TRZFqB249bJJ8zZes1Ioq94aQ5x+CF1J86XCEigPlcP9c7W
w/0g43fIPtE6GJyj1OJNMW0aN/GEg1g797TxwlGS2zDtsesbBohYx9zEMdxdaVPI6NMX3UFtPQRf
HCu6wORUU3KoIR9W9bkoBJJWMcQmD+K+PnD73AaSsRr9271W2kzVEW039crZ6kG6FQU+rDbxfEcv
z7lVZ3Kp5pE1rCLEa8pD2BcFfF3ATvUev/aA6jca4B2si7RX5Fny6eSqGSme4eP8DSbE3p7jJntk
lvwVCVk/9JybySU8tYbkqthx6eWJMqwjo/AMaB2e3xePJOAzrnfQQ4CW0lapiO/0Or8ZYMWuceK+
V3H9AI0HwASFl+JHRCqb7i60jc9sWU5j5KLEtokgC6M2W1J3NUvwBuAeh15bKAxGeJyQbZSoPNgQ
71l8fvNnR23euRLmYnhR1YBC0tLwEJhe9W10BNV1MaM74UPEnzU46DhPLrRJUt0U5ReeLXIxW8+S
3CE+CpU6YNq3yQeGM8VIU2XvQLzpTpU1QSMPp81IK7Ggrhk8y89f6yHbsv9lB6Eibq7wDRlVei3I
as9bcrrMrBi2nLsXLtA2W5LPk5tNs+167uhYcEGzxt5qIBFtYFHVDaFZUxlvSkG162rJc1Kh/A2P
CXCrGAzEMOo7s2508ragmcBWZETZHjMzfi0l5JFAk8tBRldFoF6ZrlyneX9loKJlVKdMlVfXCoGk
avGQDMGuDaOn1m7vSrdAyEJAvVNvRsue0+eX1L2IhcVzVGpbt1E4GbNgR3rRtIu79Jk/8C6cW3ub
WnAVtiXQykx5NggIfsimHtpPFR9GNi9e08cFkMiJtBYp5iShx7JX8Zwn52HIPyelUyNzBGEl3acU
tWykhw/ZwAz0v4b+a0M/e2P+uaE/vNU/WTrPP/Otnbc/WQgPUWXZnFzEXXy3YVE/kXCiGSZ9uYWu
jk77zw2LCdN8DlokCZi0JAQJf9mADMjlTAFUGyUBmiJW1f/CCvQ18/kvgc3czZP5hMATjSK6B7Tb
P3bztlYGKqZUmC+NzUybWSjTVxh1Hk4bd2P3zufGD4Z1VZqkRMgpNpR91jgd5aMdifgpEpSZx9Av
umrHlrHM8PfHg7piNtvZp5L4uuFEJOtVqSfRLc8FxluhjiEgbqbm7JCm8ayn5nSWuUROCEJFWwVk
XIFrQ/QcecKYwnXLKgbz5QwC2hm+kjFq1Vo7bZ5AKMYc0yNzPB4xemc1EYbcfIy0fZYNU3ETTBKg
SFT5MRF0ZFtsXD1gJ23zLBv71vLqYog3SiKr1VD52qZPLG01jNW0UROrvp/6sNNAk0lrWulNB1pG
CncaV2nHQ+6ytH2FI9goFWrycrIuO9mEhVeKwrqJLAvbBlUhDz2W+hutDJP2hiBkFgqWUabHUVih
2FQ2/18GTfE4DQbyrJJha4wzKizsHQ24rq7+u0W/3qI6Upt/vkWhpv7fGiDOS9S8/GQbOv/wn/eq
EJ9YgdqOoZr2vPPkrvs2etMhXXMHQyud78fvt6H2J5Afc4TQXz/15+iNe9/VmeWppAv94XP/F/fq
3+QhXB4BIfqh+ZfOq9UfdqFmCkQ+9uvpOLUPleOTLNj+cYj/owbqbxIlfqvKyWLhSRRcYv4LvpNZ
TaXP7qrUtSP2X/xPOI9xspmI2bfffQCnP46X7zPgfnwlbEQ/XGfe+n53HQwPZVUTFHM0yx7BxcVg
v/76AuLHvfHfr/BBBBdoFfKJkFciRnvRG3e2+14AhHYVCpV+pQt12fRPZbftolNbYMeO3uJwHWC1
Kc5tfhMM5aLF2MUe8//ZO6/dSK42y77Kj74PIbwBpuciIyMtyaRnsW4CtOG9OxFPP+tQf0lVlGuh
e4AZQHcqscgkWZHnfGbvtV1cIpF5NaQ3E1hAgbH2z79T7cdx6m+/UybB3/8ujEQJEdvL34URhDS3
Tf0wsJQiiO00YVALwwyUy7vDzKPhPylf/0K998ES+fUG+PkboB+1GClj6Ads8uM3UMKY60fVmU/s
TzGCakhwzjJTN0hPrc2mlhCqcthjoz60EE+sYbrWclrIqaTjGFVlIWiL0Y5es8ai55cRkf3QbvPi
i14YB7YmFFK6kmp3wigAv2ReSgeCR7RM06C12309zCt9bMBAzbB55m28nEgyDwrM5VWjsOhbtq3w
Lgus9Eu6CYcvXZhjM7rtIvcclBIyHsrTkm+AhsyAA+KQmzZTNGdYK2oSq2z8qkvDMItKeNCGM0ct
AhkU1Xzp0mI1o9BuppIAS/MqTc9TUWxH9uV3hZWvavKwg8q77U17baI3TEcRwRqKzLWZNO5adQsz
qLL8sSeVqCiWduWRGChdTH9B1P+QHv76L8Qd/eMb3/z0dpkSD72O6JaTujV24X456x+MrbtvT0SE
nfU7os4Cd+35JA1DwD+welyLR2WfbfqturVhtqR/kRQn3zy/fj+/fWSpdr5/ZE3kOk4hH9kq24Oy
ILC3hYW/wS305+8N+ej/2et8OvCYl4NginkdYMD5rXhtpH/RN3V6gr94E2jyIf/8Ut+/CT4JTEHA
5q3hJfopNnwQCRDDhE8lNHVB6vnRiVnSn/9ov3cCavDXEKBRezF0/vFXSKCRcJzc0E9I0eiCn0fl
8s9f4PcOwO9f4NPvjpbUQTWr66duXA/E9k2K3xF/9997kU+nrCc8e0GUrZ+88bg0qFVuybH/85f4
vSvp+5/j0/E4c1e3+IX1k0z7E/m0Uu1rL73wENF8vND/tGz2PCFcsKve+/8lv/JLRcuXRHH/v3/8
Y/fzn6O3av3UP/3wB1rSpMfoiGbx+q1jpfStIpB/87/6wX+9fXyVW6yS//kfT6+YO5gn923y0utU
Mx8f27/+539oP3cwPBt/XB6dPWVvv/8531VFBuJuhLMuAlVVZgx8VxXR0YDXAZ4o5V586FsH47GQ
5DJxsKTgD/gAA32rityfbPDutBsOPiImMX+LSm98yuaQx+NHRQR8kp8Xd8WnRwQ1BbVyU1qnbMyj
oxIVTXgjRFaSbKQn2XYyTUI8HUQiDahlNvD53mzZgMjQ5B0+7GpfzDqs00n16P9zV92IYU4J0bZA
sTNfcy1AcVOatBA2yoPipda5swCUE7m6sQtkM3B9N97ivlnpCEN4ZpkZhuaC2DOOYMxMx7TMN4qL
i4WGabjux26vj8L+muMVXHVp7AUT86xcrXYL7OlJj64brRzWqj0v604H21YW7a5ftAuv897YbV4l
hnsiR3mPJ+OG9dhWqbovSuTWR5z8xyaG7hibyZ6Y+C9gHnxXiW8K3bqLElesOI3ILc6M+kbrokcm
uHvDrYNUDR8Zwz/JgolRDObVrB8ngI4J37PpkIEHdLxtGYU5lXdsDOjjWasjjs0vGkZP0gt93hTg
TeL+1KMtAr5oMXuvgMJMuDbC+lA4meMXVb+zPC5O3PmepqOVXUqEYsyuHGrOteHMhyVUvrhtfDVP
mGbjPt0PEZ7LxumWwMNtW7lyRaKF7JpBFehT85jRN2YV42jLaJdNNOdAFuv4pSuI9ZxrzVqX2rxF
h3cg+MbYFq5+UdZcIFOfk87VtgBxYjMw2vfBntWdndleEEYNMx7LXtPNv+PcZzTkeacmH5oVmdW4
cJ3m1m1d9rOkiKKdu8qBI3pjO67MsfLTvnZ8KypJe1Wj+etcLgc3Ml8dqzNkrraHZm55NNv6wI74
q1CXqwa69Nhqj1PN2qDt43f4n6zopgxNS5deFM68yzqM1a2pETs0TEyv4RIRkQ4+qI42qT68zDHz
VvhcG2fMXmaa/YrZslRSJXb3POLdOROWhda2kLLbHuYcWA0pxuXnZ1/6odANrQS17ojsnPi1D+JD
wWmwxm8GB6KRSIhM/sYXFMKrJAT6xhG08T4wEqEkSrDbj3czkImFN8PVLLkTmeIigzFhUYhJPxhG
aviMl1eG5FUsklyRRvCtMDFWgcHTtqKKBHGRaTMqYsm9ACsPAaOBK+FKKoYj+RiM+XtyGtiEquO4
mdgFuGp0Yn0DFRu8hjE0Jbmh3hVC+mjd5elFY9dYn7SHSbI5Wk3JHksNeKPeIJHBGb3WJMvD7Xkg
W9vImKiSKmei3BOS/WFovGddyQMpdE/B7wYjRJuIS2btCF8SfogDSCQDKJJJssggGSNDjjpTT7rn
FvyIxiZ8NQIkgfljkGThHhSX0EhNUkuqD34JyQ1fdSYtK3QIUzBIzgm1JcWxZJ8kRVtviF9mkd4v
pL5q+pe0KMKN1/F3J8lPKRconVlGbnBVSM6KkqpMMZpqpUn2ShLapB6b4bHx4m0+TRcJ7yh/gm2b
eu1VPPFTqwr5OFF1BOKyTQogUZXHlDRd2nPD8IitjNlsGe7AvxBBXmwwNgg45k1RkhFoJaSqy9Uo
6+SjGw0US7W6TazskSH6dlC6myUbRwiJqPFioJillp13Q4sjYShinwXUNqzrnT10GH7DeG1xeaxR
1/GGBWSvn7uiuMUvnZ958XhZ8htdVSY6r6JCrRoh3rTS/mG2S+Cv9XEI3TdR6RrxAMWhzyYRRJrY
0uXe/F8pEbZv1cVT8db9WBL8v1whmFQNf1whMEDpn/7lt8Py2zpBfuYvdYImr3xqAcb89ifgkQ7w
z8H7aKBrYn7CZ32rExxGLvZHZiGERxlG+euk08auo1pcYxoiBQw2f0tLTj34Q43PV/rw1liSTi1t
04b8+HdTBy9UIBOj/zwxIoTQNtuA8fRcX+eifEhaw0XB0iKvIYrSzzMHCo7V7xtLex8rleUHI8XD
lKPPKGJW6r067CIgBXC5LBZY7OWqkuDkIcqD1EmfpxCbhDYSfDKW0OzyfiwDB8UjWOPZu4yb4s5q
YYMgNkCgly1nhPLdRRE3ppo8hKlxW1DxnRyNsIeKHRKrVCcCCqYRK5HHD6EZkY/OMedmsNPFoL+R
mjNsIl2ZbsvG21F8HdNazBtVlMALBPXEdBIVnuBcaS5GYl0is9laagf71hJnhdPexKxIVu1cnXcW
cp6oN7aZ6sV+GHUvc4Jct4qikSyPufWNBIlo0tyYbD5iASDQM1s4iW2yH3Pnq6bFjk+ACOF4Dbu5
RTJSEGoMothBqdDWgsTodd4S12kt1yGblB3qfn41QzIe82TJVoUVXXh1ciDypVmneR4svfKapjnY
nqZxQOEk22mZEr8J8eQoI7EhGjt/GbKxGXL30ohKgIq95ufszVZ9b1yntXNdda848t+xmQTDzK8s
aeTqS+ue4gFodIcBnGqvBzrBwtGQ57Jh66R7kKc85yaO7bnbuZV3zXykumwK7bwRqQjURquDxEJ0
jYdC3y66fmuSOk84C5omxbqry9k7NGO6yxwi5+0mvFA7pl1umG3CJD92VX85hdW6z1XO5nJTCRT7
LDgfPLMzt6XQwTt0TJy8HPB/4gADmb/oVbExS7IMprneF8Z4PXbIcLVleuOVRSCM/I3qRDuVFVvH
RpsvU+EaqzCLz71BCc+4iZ4RD3HDQ9vaA5a0v8ZK4QSNM3hWMMOfCNQFoyiL85bV6UU0Ks6hjqru
SnRAg0kHj3ou8JqpjGW7r27tTofRMlZu6BBDInY9YOnZAoxlhO2jB1baN+dyZ2Y1L0FIeg0Ep51I
HxosfsVuFG6VIl7ujLpifa3Pk49S/MZt7GOvzW953GRrLbOugUFFRxtdyVKMFzr7QM1L0afaKKzw
ob+mS+3t+8p5pZ0G0uUu3doaPeguWnfVk0LEG/E8zODmYFGoD5UDK4Ok81WTmQFYJTKBIndYaUC+
1xVoI0YZ0bxJtfA9r1GBtTMBH0WvntgEVL49UDiGS35s9FINFtVudtGwrHGnrFmZH6ZU79as6h9T
xCJIKfr+LCbr59xguPemqmF2W6HR2uWjOytSsAEN7Z/b6ef+lZnAH99OZ09d9/Z7Ozg+69vNhMsJ
RJSKwcnQKQR/MH6SWiD/97fJ/q83E7lqNLxSisvlQwiNR3P7rYP1fsIlbPMVaWOxHOju39nBYRT9
fDNZjDjIOqdfNpm6e5862HHwhFJX9nSaJ6NzgngMU4KDHLboAHRi1vvhsV/gOwYzkKsMLY6Go5HV
YdLv64UodDHaS3bWkU+zBKnQ+wX7TV1WGEhKMIMvwp4c7DJ1Gy5BH7UU4JFod8LWIu/dUwutv5m7
jkCxPnHMcB3Oy+Kt8xq+GfQqRa65GhvwHT6jbOKsXRhNI7EfIqEFMATbJTAdDUOnFESs+yHTtoOa
Ybpox8i07nINW9EGK8GeVSHlcInsclcrI4goYx7S98lwxSaC1KQGUZSScIK1S93FiK0OSujmzwle
0LUHP16BqDSPgZK39mrkTYwkDuC+WihYIa3Weh4tzphlKYxtr85KTOsQmVtrjt/tSSFRoXTf6cPN
VV9EReCAMt3CRcfBOTKrBp8/HeMIvY0rS/4oKeAE9rgz81Ypn4m8yOgh+gzpq46+pFUR7wyWFq20
OVF3bmvSJYes2jU3R/a5VNGhbpX80pxzmINC87ZuXb5lzmJtgcuRaR+P5pbjH5BRh7UsixyUwNaQ
X2YqYWCNh2K0HvVV0TQTpEIsR5FrvMUIBHZWm/FYjDk1CDd40FaRwzhMea4zTHD2kg8M7yt3G7ft
uzMRV1/rNPBOwVhiPbWYKPJed7YVRNgDhrt0rStxCqOWnUNU2dUhg52bDCkKMfIFoHxN85XnhdZ2
8qoi6KTDCtE1IrLWhPE2hGgvlpZv0zW+5GWmU5Sn0aptYRyHE0dxBet+BYECUExlpFs03c0V+WP4
fqOpv3IS+uVl1ho0QkCC99wv+WZRPRF0cPWk5qQOhOYMSIW4lUJRZjstR8TBKvffC5j/6bnf/39F
vUxz/+Nj8zJ/enlrf1vQy8/6dmzqHzBSjOg2RH05xPtu8Af2G486x6PNucVi9NeCXrK9bUOGw0Bx
+ajafzk2YXtTD+Oihx9js0r9e4O/j2Px16G9HPw51NeujlRCl2FCn4b2jNpo1k1nOvVizIj6yh6q
kYAQ6TYiOuxUaE36gpqrZPdj3Bo9Qs7RUMIb15neUSxvsDmYq0U6mSJc4qr0NhUOBXzShs+t9D2J
nCJzHMpr08sjRNBVuJ3G8NyVfqm4dp4HI7mxx+Uhlo4qXXqr9Nr0RRUXFH01Onj8V4V0YhlYspZc
v+G1GD1pSLsm6mBd+rdSd0j9EP0Adus7U3q8YFq+pp17TlbDlWqKU8x8qUKnsQL7d6XHqroxsWuu
UqxjQif5TXK1VoADJpT7ILAj6YpqfKMZ0r0q/WcT+iJNOtKYyHXIc3GpDXNtBEYWbm3pYKukly2s
zdvWg7WKsmMwjGBA27dqpO8tKeY9DHPT76UnLsIcZ3mvRRXSPOF3wjfnjP2XQcXTUKd43xnejKth
ZklnjwPHsJjfUEPtR83hFsCY66nxfaQViNldxc9d/LomE4II316qO4BRnQs5qo2q9r7C3zcM89Gp
MlQaC5s8B1uuth/C7EqXxkCmdNcuv6GQ9milVO1myvOLFi+hjacwEwsXI7k/K/IqGDjiPCxwIKY4
EfUaSyItmbmpBw0uE35FjcgzJcfAaC/qfUIaIldnelzwONZ4HWs8j1GbeWjU8zcMr18FrsjaGM4E
Lsneszecwl8G3JM50+GVJQ2Vbc3hvEiTpd417w6uS1XaLxHVnPPPdDbhy2wgHITmO0pVkvn4cSbM
m7V0ceqmpEiDikzdimAecipTpHxtWX01ACMY0gtazuLJHBDl8ZBj2ZADR7xoZ9qYv4Y8kV5roNPX
YUhiMmW2uavs/hVxN8ra2Li1sKNGSYKZN2wuNXXqoVuOYs3kDKmqMqdrRTpaZ0bDK2bi92nPL2kp
uWgt+sSVWejX+JIDry7Qn0uTLPw/WNVg9C70AQNxB0N7b/CeeyzA+lXSahtHGYVDb95V0oY7T623
DzPSBiunE1tzZM+tDpPpD41GSLa8ahJcvVY69d4ZKv2+vArjMJ2DvkDLfDci8M5W1oiOF+BkmJk3
RGXS0SmRcZ+YqfQJDjd4ysmVJJFSlKa19qZxnbtpyhDP28711FG2u+6axXt+SABQBAUgxQB3wGM1
WilkON5uecwjXU69vYoFPhScUL6SYKpwPXHj1gKPUhyfRLy8wgGmpYzcdZI0GxVC/5AV0OWwDQWl
7cZr0KPIep0LYVJ+1Am0QvchscoNQZIh09Z4Q6+wT+jUIM4yjKgu82TYIBHu/UXpjlXd1ZQp/cGM
y+giz8RdZiIxmg1tS61w0aXtpWiGOy/zcKGbpR+F0zPZrvdVRUSjyhhDh1CZ5gbKgmZZ0MAm9xaN
+6paGMO5hkYO1Ihqc4LlmMX5mTph3gIM6IuEDrrprcdawV+jN1CEjOx9Xpq7OnXu6yY5z1vzGTEl
Q4vCQf7oHewBh6zZxIxOm4lNQh8pMhroGXPjtauXZ/zjIbhMlwmnpnNXjEx9lxydgTW5cdC40dpe
FJPRgEdwN+1/1fNmmnnrOQs/Z6xDzGCgyBDzOh04BXTtQHbKMRz6M5jVcBwBSK5QJsSrcCzoUxN8
yYPjkn5UIJYNs/5NQeeGL7dJN/3gYQKv1Ysy9JRgzAcMXKUGKiB8UubiLM6WO2VmGkBniAGiSW/m
WrAQnqZd3eHIQkuZrZ2oeZmI8FopmGH8qijvSHo9xnX9kixO70O6LW5F2e6UUicxDBNFWPOvkTs0
yUNGCFXocmxMe6eoqbntgXwAboe6f/H0yaTuyXnWumKYrFWuRkoLPFObSfDKozIwZZRFF/ad91Uv
ut75eb3/T0Uk6RF/XBGdP72+tU+/rYjkZ32riGgkKV6YH5KyTdyQbOR+WYWqP1mmZXL3qgb1jeQx
/jriBPTqwfRhdwli4ftG0v6J0CI0nnyCoTH8/1sVEeXA50bSBS1FcjYhSORSup+hkArPSKf3WgQy
udg40sDQdxbiCTwNaGUeajwOtei99YLrwZH2h7KIzvNq2Kn4IkxpkJg8yFTG1PkU8EdR4QpZvJR8
6JGGE39FKY0WvbRcUAXdg3uARpN4XkCkwos21AxG3eGiH1AGaeOjjYNDw8lhSUsHW/SvtkfmyThF
960+qLsS/0dUTKHvhKSm8W1XmwGXSCXtIpGmP+K5I4tNWkmQtNPCKDaM3j58JzrrDdUoIm4WmIFb
pQTs4UqpsvgKi87TgltFkfwjTxpYwKvSDeNpsaS5ZUBEjscKNkfnVM8EPLzEOGEK4g4pyfgRB2mT
6WrtklqA8SOxc/hoUmmoSVuC4zo8NoRCXKqlwZGf5L0/SSNOLi05CDtHjFHTC46Qzs+1IVllsUtX
E1uc6mp6S/l2iTEDQ4baE0Zn5M4Z6dY3HV6gotCuunJqN2mOv07BLxTjG4p7cawrrHXOFBOEjrco
0mqJA2cpY0vjUTVYOASSDvFPrC53mFEhAlXWgKHdSdmDYl9C9ptuMKa/0nHPh2iMIf2XKssxaXwy
Jlch1cM4s6UnynRrTqYwvJqlYSpuem8DAB0TVc5pGkljVSktVpWtbCuZi5w4mwoP1oz6ddtF3C95
HRcb2lkk/3i2IPsgCcZRhY0rRBjWEAYtLV55VLz0XoynTE7scmkEy6UlTOANy/GI2RFoziSrcRBE
GMhwzW5SaSlTmQEmodYHEkV60PGdZaETrx126WsyfHggB8dixopRrdXnwmc29zK0qoFJhVzEQRrb
UmwI/iDNbom0vSFdOWfbyrhW2G9tDWCg9bQLbvzSN3oeZctMxToaE2xY0QxDXrFvSlx2o7TbJRRh
K9j4+a7vBPzraCJ4EHteiE8PpC7FXBHK3r5kiSrtfA2+vlAa/BozN3fgoR69VH+Gb791pBlQF925
UqAjixSXghjH4BI3z/A9SFObHJjdZefZVyzOe/OgLYYmDYcW3l7RzsXKmPBNxg+CPIYNsPbKz4dB
RfEgNjNNz6UzFY9TCfGdgAamNB1tSmPN91COsVITURkIKkF34karKpL/sqyCxTRA482NoEtgQoct
2gcNWPOxbejnG5eOBpPF7VKFJ7y3Z4Ng4DpU5XvSNze6Ee9L3T2OLu7VnhJ6ibd6VhxiJT5XU5b5
1cycwMwHxhytea1W9oijtRk3jYAfaWARdmJMf06kB3bGN+5Fu24yj8xc3u3e2XTEIXA0IbwLi/mA
pPNJB9PPsBvDZiP6iVZvtA8J97wrIoERPHX6/qGMmrHaiLg2Fx8zXXVjTEN3XwkxPYpQx/Zhq93Y
7ozEtb5GWWUd+q7Oo0sgJZG77xvF/BpGth6ep7Cat4WXkb7phQ9abNqBJXQejZC2MeR52ZkVppQp
ZVs68dwFFmXDiqfwcTCH3ZIxV0K8sIvtJWSaTl08MYVf0VdeuctC/M1AyVcsC5VscZnbUXY3aJxw
RZ1wPGXkJQxR+h61zlVroxZRJigtSO53+ZzlOJKda8PrX4t5vG8sXDK8i7duiIzdowtr1OXSM5Pj
kM2WT93zpAnO8arEM46RXpu03O/7sNs1ObE/ZRee5kzV/ZnUn5VCWO+qZACX7UvplOqM8okWO0ZE
i4vKwU6VZOmzjr2qSsWzwG5VNiBMFgxYoYkTK5KeLAdzlirOyrFaF9nORYFQLttkSLbK6J4i6esa
MXjZGL0IOd6H0vnlYAHTUCGsNOkKy6U/zCkm2DU4xmLpHWuli6yUfjL8uKQy6gkif4wAM6YzY1Q1
v5gYJekY0pKUbNa8dc5CrGqV9Kw10r1GA3rbxPqFKX1tVoSbs21xumF5y+zqssICp2A+8ivVfkjd
8SWVLjkSCo6T9M2Nood5vjxYGOoo6k+zdNjpWO1q6bkb0nqTeJLE7uIsxpWHdS/ybYVVx4CkqDQS
w6dLhL0B4ttybhwvM1jam2/26NHGStef4fbHVPoA0c7Y/EWxabEImtIrOCSQuBPsg57tcD4j2slG
3NZKcgPQj1QAgOoM2jJwcSM+xEw25CoTjlZaFB28ioUWvaWet7OQzFYKHw1xNfYj/iZcjoUeb/9Z
THwsJkg4/rN68q19eUO3/lmOJz/rWz0pJ2y4f+gdf9mL/1JPaj/pMNlM2h1kcjQv39eTFIs6hSSe
Ag+Q5XfmIOpJUzUcD0mWycYDt9E3eeHlz5MzlIl/aAegCP1tPemAvYQ5Ig1C5mcKvKHok9Y3WXbS
VLNvD+AL4PQkY2Eq3BGZM8GBlgbIoUmbK83J1oNewHIsdmK/V8N0W8pCYiITBSclMSOAzvBWkjrd
HlUBZPBLKM8Wu2d4AdhG96FbcvCwXbdYBOxq3cr9hOMJesRJKPnIDEd/CiGr+gzCjzVHWmkTYOtw
yOHx3oLpWjaDK+4pAF9htV2TmskXMJZ6FwlrA+uq2pmdd0X6OCv9Vg+IegPDJE/YmnwzYpCLS8U0
YBOoc+/j3Ty5HMxTkUorMGd1JE9t0bq70WaPUWTTLrT1R1Oe8FM1D8EoT/2qasaAuWi6q40iD7zW
cfGjhxziTfxlyJoe1z2ghihDy7/UqrYxYjbWg2IwXZnsPt7F2K0YvNXQl1Y6+iJkhkq+i2OVDFVE
6NtO0/Ijasfo2ukd8WCPqJQrh4T2TiTWKaHR8CMt0S7mmSQgYeqXwCphsnTYOe3G6bdtknabuCoY
NI4FL62n7kPoNf2u1A3Ozpi5/DxqJPiILOwOqdYyexl64+jWLSvXggy1iO+hbJKD6Si2tvcyoo42
OpiNcXYy7VlrDHM9DMrKadDTx2COUOfQFmSogNBercxo2ahWcWWiQSI0F68p5NDsjR7koemys0ql
OAUVsM25e3wscOetp5x3is6DVCRrq86vRQzNTm8fdSU7S6ekWjV6cWuAfQhAJryYHPF65FyUheA2
jXsno2KfEz1Aw2igp7PidDln3Veu1GwKsjrlpGUARcxSvB8K3NgipOQR6FuCYoleFjHhwVArOGue
hHohyVpZXslqu7Ve4NO0K8bdGX7fvlsbsQgGjfC9AjGH6MV67kuL4JYxJQgRPRmq0IvenuAAqBbX
d1Qw9XIjyi/+JoK9VUz2hwPOy8d3S89mgXN1F3PcznEyrlWhXjgWzrqMmSyrsAxmFKGGNmm0PrFA
epDkncI6TP9qC42mbK5uJkeQqjFPKAnKzmHnzZVHhcME1mSS6ThvRRi9MqHMfd5dPsS2fpVC2h6s
EtHmSDqTOji4VOciqDTpZ6smb+Py6KuaGa1Lte0RulogrSgRKmY6Scqg9lB2fXX7z/3xcX/Ig/vP
5hFt8nt77e8XNMiqTEdSg2E/sdjmQ79cHwaTCkjCNuB0Tcd3+uv1AV+KVF3sXaDo/63n/rbXdn6S
plN2N4ZlQyBmo/LpuvjT60PaXr9zVcgFDVIw8l/ZbfNd8AX5+HeKK+Ln2C0p6nIyivi+MeiXc7Iy
sVPjy9GWYoPagySXam/Nij8K776oqOXVQVAlevZt6gK6q/p9gVOoGV28NY4DHyhI4qm+yytPCypd
vYqUEqg+hTRAkzxVnnVEgKyZoRbER4dJoPCtUoVtgSJo1/X0TMWQDlcqAk/c7PbNlNmL74LoAR3K
crI01nWMDqkR1e08K/eVVd4ZtNQrVed0V1v6U2WGMugeOKA5LruXdjGQcPGWiUBE1ql+SVl5r48d
K6Keyizss/OxRlI2hOX73AJSi8GOhiYCVb0tDGYj4oQe56nJaTat0SDYuIpfm6lY0JiFlKPCDSKV
sB0mAdomc2yH0EjFnPeTqBQfKexRG5yTAY2TvOjjwjsWO6+DlDcGI0jyajvWD7HqPSqmA8UgN64y
lkC9VdxnyYLqNV3u+nbictTqCy3kPq+rd13V1mObXHuDnGgApKyjYq8V833WDUelGt/VlpGGqswk
XxrGgJqXsayiZP3KyLNd0ym1b8S2D0cAvYyuDuBTYveks75n2dtk/tjD9wRB6veS8VyljFALVvaB
m2WLXwoYgLbqvMRzdCiJktr2YUogJzlqpatT8Rq7YWhPYd7SpQPvOI+btoGibttDseUglJuBvNgb
ZFt1nXXONUaDXHErxuW4MYkkyiBXZbkA9ERkaFqKp8jGw8TX9CsCApEBTdCD0OHGhvKktlHqtyOi
Py2Dnoj+nvLEPcf3QIigCu4Jj6ENudVgeFtKFR0nvN4X6Gn1CIu+A4l1aYddPIoFwEdu0sY4a5dp
z7ZUYDIQsGRfDIlLUW7ulaa7p1DcqYN+P41I2KK4U9d9p2sXyIjTM/QcjAc8LMqxxXUfjrCqSsFa
zjCVcDuTfHNRC0O/SnQ538jGrYfaCDPCocjImxWN/kS0i4Vye05O5CyA4rLMzewWm6Enjw0pQ84c
vnyeCWnTx+RLFUHy9vosiACssj+Y8xPe1FWCQe67Q+3fRef3XtAfVZk/m8nw5dkaBnjpeZcl6Hdn
RG2wu80VTzvlBZuNV4KopmL/t1+C8Ah20uw7NRWz/Y8vMdeR6NLENk9Z9zxkl3N9W3o/e/T+mZnr
nOl/ckdVJKH+TovDJ31rcT60Vy5ZSLJ9AIPAh365oxARACU0ABry6OnfQffRXvEvZnoUeFIT7PDQ
/PuK+lBlcelxfxHFqUs30t+4oqRB6ccbypTNDXRETedr6e6nR6OpGjrqOI0vWZdb7q75UDhZzklD
OkNJFn3In+CYSS3UUKNQYQYsRVLISPt2436Ip6YPIdUEVQi5kBE+1VmRqgHwjVw58kN34UEjkRKy
Acj66NLMyqRgImPG0vs8APwXKI2XHMpZ54VSsENCMvPz2WY+R+XtkYKIEBFZLuz3Jt45jK5QFKcW
WDzhtNauiVoPFGjR0ac0U96eQJpiVhmMeXKCyGXCtspcm/lpPyhvFu/pf9r7n31zUor+x4++xAqc
DUn3r9MzQ7bfAwv8uDcyaUw119NV10M488ObAPa6aqg8zygRVd4f3/ZGFhAQPsflA9hMLIkO+Vao
mT+5vD9c9SNzBV3j3xIg8nV+fBNInojlYuTj64EU+aSjaVl4dZzO0Yl5J/p3IkX/Kn7t82ZK6vtd
qlHKSlx6DlB3fjnfH/MF8GSvzmdxEWXOvowHbyN09PYbpxDnwkChyGoeVMYiId62AhBupfWudaMz
WyPOHY3FudM6Xrcvo7A5H1rG5H7xAeKQBaYIzA9Ah0rbvASQ34KqntR6l5H/GgDXVLdCYj0QzOmY
7Wxti0OuCTqJ/zDsWoVraV+mEgvCW5clkESFJEpEUxW1VaqwJJM0kbJd4vci7UcQZgledN/tVCXw
8tnUU9/L+VOg1eyag9gsVOMGTQR7groRzVUv+C4SskYXfFsrRcRfjFo7xiJu2ecqzSrzsr0xNtsR
Gtw02NrK6ZWLIR7vrcy4bbzupsUiEJXjvW0VEIFtDD5ZYsJgQsRsNmcxSTIagT97rR2I7xD2kXku
xiXSmXFGQTgTZGcisViq+cAW67GGV+rnuWOvZI5Gm9jpjo6WMb76HNvZzAoboY2JhZF6UXsjpJ70
SFZ8c2Wnqx6PNPYBo9j0QlhbjrvlyLj3OIbKVjDa7ZUk2ha51a4ZvECPq4NmSs6LScINgFYD1Ky3
y9Lu2Slcx1aTb9PSAj6tZPuWdQK+fm1fdqIN2ri4qdr+GBvUY8qs2i/zmHX+3EYT5Dl7I5jPrzBE
BKYJl1RxSzIDw72om/PJLAHJkuDJAJTZi+uOrMxS68YyZwD4gjl8V5bWisW/vi5CcMpMe84be1T8
yGv3YybmbZWrb6Y9vGo4NrZtbhdHwyMcaBVnVnJVg6yDNyaJchq1JR5X5eBlqbbtXPUlU+L9YisX
vebc9bGyzWO2QO7cIj/ABWFoZ0vhXo1luWH7s07bMOg0BYTrlO2mXAea2+vkHPOLt0pn16njg7Zg
66qtSGpzvi72eF79H/bOZDluJIuy/9J7yDADvuhNADEzGJynDYwUSczzjK/v48ySSqnKbLPc56rM
SimRogJwf/fde67KZTRupgM0kKuFP3TQilMuQfYmvttKedVb7UNRpn1pLhdGoOyE80BrSekuB0Qi
d2NRcd041n29aCuupW9Dz923Q2oGLXZh6fNVGCSaZ+hIzkEKMCrUSYbawm9G7QIcdeiN5plDiB7m
yIsWUm3WUm+cSLlzp/beZPcxhYTnrYhzbpBSQTzP9AHER5ine2ZRQjWD9lAp0Z3r5vd4nvEVjRsn
rD51ZzrUQjlMhCJJxdqHOhHbzM56WPBIK6UG/Kc3uxtzTA78/Y5Wor4YWK6wKQEpAa8VbXSyG2Tz
pnQ3KbkOIphymdYt4waZaQ7u8y5Ib6bAodJ5osAAex0JkriL/FpJaRyVWVmKs1iO6ZirRx6Li6Gy
4sveXFDhsmZgGOsrWz5hKPaoTqJjCKgD921hGQsN1n5QWt1eD619GVALuw4yxqfOFC0fZpKNw9xn
x9klLBnq1k2n0myHS6ZmwcgGQ9OS41CCwavScUXSErNf1YabVJhPtn2b8C/v1z32EGdqi4NrZPYp
wEa8nhbijSwr3kz60Dj954hHTvBvZN3R4JPyc5zRGufwgsKdharg4Drtyjf2dV4SJL6b6DWUU/VW
6piGUb20fbpeymQ3JN0neYkzZKZkEwYsG4wxeya8vIls56WcoXK4LRUOWp1j9pVBm7ZwV4kzX7QB
AOI5Zl6gQ6fW33MamrdVbTFoDc/0Pmwts2M3FPcvbYf7ruGfOR1B/juPWtE+WH3xaGklTQxTcjtl
80Uhxl1X47RWxuQxjOZ9PPKITtNpCPJtmINmoUThpuuWs9Xaz1NkXZYMRK45PI5L46EsHGJnGTaD
SaXApMp6D4ElK31ZavKEIrG3KKrkUzNyWp0b78N2itaRQa9hYtm37Fn5CWaIaWHh3NVDfOhop/Bo
dX3mJDjWAWOjEhdXMdvGXZmEjxaFvSz3m50l53pz9pV+OhkFf3tAyResp3dNGh7YVD6LaiBJUnqV
m4Kld3dpjuOnDXDz6emr4iq+BZG5zxDVKE9/Vbv0wM/ajxe6dEAR0RoxX7eVyrdpItGqyq6x7JdA
rfbDnEmfwC3ygo9ktGxIDpdw+qMrjKSfgYqZaF6KF7DQiMtLfELz2NZBfQc0eWEyLHdDCB2acuf5
QtMwQOj6Rd/ELza5crVhbtb1stsUuaoRxjTHK2jjBGQbcgmp2zwVahRuFNU9qxC8sE/W9bHVnNDr
oinfoAN9jzMl92mnVJ7GyubzAuB0jXsgWBkg+t8n0ge+jlAEzX7WT1ge/mGBJVcQYVJdaXML4daM
R/nPVxDSRFqeF4FymST3dvqQijfT+mfD7P98CXnT+mWYnfkU22nPl1Br6l+cc1+d6bL85Zr5FwPz
n3cy8iYl/xrEUrgbMjYZv/01dGzD+Sji8Kwio7gONKiLabpTFP///2UQCH+5FP7xZchJkpch7WYS
d/nzXyUsk9lw0iE89zkBECCmrc5zWN/35pWkRNptw9Lmj9Lhf6douVj7+1Hi8rX6C9+Z/D0/hmjA
ZKoNKJCeRdk3J1eIP4do/RuVrGRoGQX+owH/mB/cbwzdiMDUAgAgs2Xq9sf84H7Dhy/4FUOuH6V/
/x9M0aA+/vRh+XLioxmZch3JA/Y/0dqmbnPTGvTlXEnPu6Z3dJkJ9g2VNd9rSb0N5GYGJ68fVP2b
2gcvsQ1LSZ3MY2sFmWTv3ouh9lVrPlkLTdlWh5UlAE6uhjBrceDMgXulZiH1IIzM3CnVbTqJ02hY
F2Vebt1Q7ECxnyFVmdyPlxR2D9AOli23tlX2G4TYD8UuiPcIKn8HMzw5Nix8heDMyq3JPurSPqJQ
dG/Ee9UaHa/S3QeoFFetnp0t1p6YOIqBNvUhwxwwb4OJff1siessCaGFpQBHyRjOVkKnUVaqyAPm
x1iGyWlZ+op4NV9ntobtojQhtS2hx+ZslyspvUqT1vhBNkZrbtZq5wHlP/Qq+V69GikP0R3hp1Ht
xZm1EXX2FnL96Ga+9WqgHQmGWuqVZrKdiH9uHDWS3IhdUxTcwjqBV56GDzPT9vpcHg0VvLuGDy4g
l+q50rIapDjQ0rL0xGjf1lpsIwc2nafg0kBobMyzm9n7YsRLRCWVvbJaK9uzKL600UKNouAo7IIX
MFx3iUK1fawYO3MOPki4YZCl8Z36MBysmLjpncX4BJZ3V0YBoChmrLvZFS3wB2ufF3i7zLC6Ya+5
m3A3ehEweq4xbe2VcRtQxDmoK00l+VQlYhMXuGqWKJ6hUpDmssL0e6MVUDlqjT2Ysug3otZcBJUU
mRTfBY7IyFdY8m6GL74LgPn8lGLr2NsS/4I8Mnqj4qb7CjbMJJMHA6GXla07ybYraRPbNW1YkhnB
KnfQ7Ogd9DXECO7Gh6WKYhp1mn1Th3etikCkdvrOVKghIw+ybqPeWg8MJu5QlHCuG5mV+CxxBFMx
MLIAH56qdnYIjFErodcYJGHseENQPQ1MEmuQJxd9QTobqLbXuMn10rm4GUsIHqN1KmS9U6A8dKOm
euYosxMsGO3QPDvsZ3tX21gxe+vWTMsVG9pt4ugXmc0soYoOtGxwHtT0XkwMSbkV7EO9trYDJhov
0ep43SRlu4mj4lWo6SnCwz1lYbRWhTgVmdh1FpiT0VHe4yC+x4BVe6ESRthv1Hcjrh6G1PUZndGs
wI6+Do21VjTlmZxOtBo7iG3UPnpE79NrOzVfyIfJO8K7s7TH2aouF808kgThMlRaJNZL/VQ0OWgc
iiUqxz4a+PCbhm2Aokc3VB1R6xbPL7pzlyprc3aPVQyUZACoRb9HA5NEuYsHR8Nsnl27pH49vWxw
s2Mft/vAK5TlKrICcr1G5xsjJsw4WSuKvVtari8sHWrWPa3wmpTbfyROTGB7ACtnxDuvh0rd6GN7
HByQKmm+vAh76DZd3niUGNYW6kWmJFx9hvqiH5c9ifY33UJoCDRKPDi9MUIkt11mvYkmqmGNEV0s
auchVPAeannAQ1wCuDKiDt8A70JIOZSZtQW+xsuvg+bfE9fgsPv7E/f29XsDoqPo/kq343f+PHc1
tqj0N/3EWP1y7mqcriw2HeKQX4Cr/+p2xNwM20SdNvgfnSXor+euSqiY3aDlcgc1kRj/wbmrS93w
l0va17mL35vvjhiyqeu/dwobyVAQwJjAO8Ct8sw+rjbsPZN1BTYqd6ZugzkD/iKFJMPzmOTHioFg
a6uuQ0wjjr0A+qxPQY52E4b2mrc4E8hcOOzfYuWodsurFejLpei7j9Gu27WTpLIeNLhl8LZPxUC+
daaOcVNNQ33JgmedhNFDhxFjBD+H/8095J1+MBvtE1XlYYyIipkpKKXGdzR9JyjOYQhDC49zksNJ
xpy3MM37k2q2iDHYFokmfiSOeT/ayks6KB/jwNMifeveNM64Esv8vc5ZGacqkos6AFBoCvjdKUfn
IOy3OTIlacKWOIiBaFsPiKGfy4coL691O1zbJThvZzZ7r+4Z5lH9+vAUxnu7Mm7q1j5RsvuxkFKa
iytbq+AaNOllQdprmZLHHD9ioAffo8K6Gywsf2ryOYdm5ceZfu02yB5uT6Z5CFtekp1OjqWraJGJ
MizsGTZgQY1lYzPxh53ld85o7njr0+mWRQ1RxJ7sGAoOsAIKIdsgEWuls1sfrQtN02xXuWJsMdkk
N5YGwGRi5031CukuLcZJb5WKcWpqElfkmgFSUDtx4OYBBmNiPFRKdcsLZ8+yJvYbA46Tyepj1wdi
Th+Kr8Y1vaV8LWllD1v21cmWDYs3GfaI6zEe1wXNbS0NbhNNblHHaptEGiGU7iuQ0lhL/J5npaP4
QuO4iE0t2DCda2cHIdJrsaMigMzFpjLH8pQvenzP2frQ0J65M2zxkrJhpGoWR+VoopEpVQ/Ianbv
REE5ZG7RIBv024zRcddo2r3SB5rfU1WynoKl2A4jvqjchLjitHpxbmWtAyaWlUHx7xTN5R2fAO52
rMI9yoqmq2JmGe72Y3WHQfitJU5wdOA50Y4XfVRaNFFgAI4qxhWu4AXjNsquJlcoNnBgnO6aPmh2
emNnt7VdZ+ehdIq7VJ87v6JjkntEdVe6nd91NkE7yeoNY4vQPWY3BsTES4yeY6acz4TcAk8xGqD7
aSnWVqyPx87WOOABOB26GZZ7UHl1ND64s8lqvVBneCz400MYLCt9MpW9oojxBULXCEqyDvzY7Yrt
VJXp9xRlf5f1I+yy2iXhHU27gYvEuunEAr6Jm8AKA0lzPRpacBGFBrvtYb5ssSNi+4eX65RUD9Hr
1Wwm1Z38jlqDk+IuoKa0VF2l1rSs/z2Pvrw+OvPz359Hlx/D6/tfzYD8rp9nkUxj4/tkic1ILlc+
/50B8YqyC6KTlxPFBEzx37MIDCNZJFac7Dclu/GXGZAsk8p6SSaToF7r1j85igxD6gG/hbFRCRAl
kCb4guZvekHA2WNYQTyfkcSMmQCcHszjaurE/bTo40qdERsFIUB3yW74IL/NVaZ4joIOPUYQDXCy
q+w9xKFNxZmIVYkpzX6D8XDKevFAovmeHqXPnpbuWuYRY+E8Z1VeUcxh0+pJaFHV84tSphgHmWdM
F+NyVOuIbI5qrmrkHhv/5sYoQaJpBCJ1pksKLaynNOPaNS9vwCYKJiKxG+v+npD0VUO4MnbBwqvC
vc2JXZblFF4GBDF5qdIrQjRTc5Pem/CV5IQ2DXCNCSHO2u33PaFOVPOAOoliU0TKI9UrnmDGtHRx
mREHXWTtV+HQ7IA1j6woodGE8GjtQoYziJNqpvZeivjcpvTrgFuabxe0s3igj1SrWm+piZ9aiUH5
CrEj9EklWQvFes6XlNjEGDiYCtXswNPLC3DUSLtOgaRcoPnKICyeY18QjSX0sawMrb+1Z3qhlsZ6
kAGP1AvjxrwVED7A/fRfYdvJbtvlXhtH1l6DC+/ZtygshUzCOoy6nJm6SVghYWb6AbnSFWLphWvD
xWvnrZpNu2Uc6AFuw3AF9G/L+T6AaQahGVjavemwB88d86MCrJmpRHqHbnlZTNQDu+WDEwX9fVcU
L3H20QTWgfxMieey3c99f5wack52UuwwginrKK3oxXWGk1Dx4qezccQ2+zib9iGviAfn1vxaa1Z9
T4ffTZibTJwD4fiRJOm0nZIk2MVWYCDpBjvIQqUX1saRpKa2Ekrl7GeFCwfbmwdlaFykdmUzCp3d
2kCdDR5UNxj3i4Czq5YVDL+w8IUM8A51tY3jCEyHg1tZDzZGb3EnY4fWNP3DkmWPmaV/0k+DkJ7U
T6pbXpCKu5+d6DnMCfZGlJ9NHQJxsTy1TZHzx0e7gFJfj6DYupi6Q947fJqT5WnoKE3Q6tdujtck
BI8iiX2K456pwOv8AAEfWylVJlkjKwmbe5LcA0gm7hKqkx5TMkjVQui5c55r3MCrprdPDR7qJTK3
NP0+arMybdV5Zunav9B6dcOVY+NoxdkwmdQqlV5ge9EvyEmwQLELWuihNRlsMIr3lC1ZP1B32MqW
rhiUsqDi3i8t4nAYklw14P8Z2UN1Tvu09O3ksY94zQOiF5aasp9ryTyxiJL8gztbLsSmMuNMb5y7
ogiPbq0+L250ysR0behAF+kiXIlavNPjuMsFqzHbqfdDn/MBDO6yhAYH+iCAtcq72qDd8TF+gtAV
8VqgATC2r1thvAtQZ+tEGa/KAGdz3mqSFKU7BE9YHWZ2JFYupj18f1N2NafiJk15r0RzVe+DIVLX
QDXHTWGLtynoXtOsvgpYzXqBYwU+y+nAy+daMGZbx8ptzavFcLeY5SKc1jJqXBUaVW8kYEJSyEtZ
XhhL+KaRTu5lTDmXgeUu1S/pY0xWbUUh4py5LBTJN9Pwt6x7J0r9Jq3gfXb0uFVk7Va0KeLtlSHp
wGwuFlLTHenpmBR1RJq6kbFq7lB7m5z1RN6aLDMJfBLYVRfRfCtD2XMY+kmU9x4VBX8Izf+OoPKE
/vsj/0wlRfjB8f4brVn+rh9HvuZ8MyFDcew7cmiUGZAfsq+GgguWSud0dy2LxPd/j3zjm+AOgHGK
NsQ/MsU/ZV/jG3BG2WDBHysdw/o/OfMJZvx25iMfIyADZFKFbpJf/s04UtvYBkdHDTDpawTCliwF
cEs07qhMtXosnFbWcalz/2Im0SEO5me6BhavcpLvxmBpvjIite7sKMuHdW2o8EqqGu5PEiOd0JBS
PoTNYM9AjdSW7lEerxXIJtB8Y2U0r2YWxB9drwbMB4UlAaLoUgXW4YL34ybq46Red1kLRw9OAfHC
JhH2YXaYaQSKThv0gltCXNmy8wmK6gQ0SXFDmlJT2CRWHAwYdXmJuBqLHElyUgzkx2zgDGtnWEpR
Ex6yXjtXS4mGrSL0jteasdBOCUvFUC5MasK0MNpPWEU8y27YfKO+emXLlKq3ZnRRmfZWrZSrhGf+
pgrcY0eTuwegEoSDaMmItWXjgXRM17PNcrcBV0UnT3+euvaspBMMphDW0mxyeyhp0Y5CXG68mjrc
mrExN5+p0d3GmXrLXiG3PIo+iyulpuTaMNMNQ90mrOzoiWSz52CTCFg+ngYTT4VRgiBusb0CSQnX
eumuesCEYjbyW8W2xk3lcjo49aJTdEV8vOavW9HXSwCCGs/FsX1dK6LzQCPjLq6SfsUAglVEKW9s
lo/CHj1qMdl8Czq4Kx05P1ZOLFo3g62Raugr874Vms8rLMb0lkFIyMgXcNHzaLana71yqmcr6NH2
NQW9fFXoFGm1c5Nsf3kU/2LH9psp1cRy6LoOZiX8tDi27N86MRI1GtWU1oVLXY2QVLJRf41mWaw5
p1RN/DvyfI08ssfi799/V1mfv7b/+/6Tv+vH+0/G4wRZNgByjJz2b9w+7KEML6oO4IjB5uf7z1S/
mfwSMhvC3H/emm3Zd9H//T8G0xAhMYYUXfZgS1/pP5DfjK9yrD/NPOxHCc3JEYqIP/5i3o+/rHvN
KCxwQM10t2QkyHb44Glpcev0lASZZy7ttRstjzxbK73usu1Iu6ISE+XPo2BloeQLLCKcs9N9w7O/
NsrmmpZ7fNsqRGPSovm0N6bWX3pgxzRehyGMHaAx4VlLBGQCcv+ebckiLm2ZVmmLPAMy/p3bPaYY
WflgBu4zXtUMQpTSbcyxe17KfDdyLfMNa7jiXmisa4zo/Lp6XAZacRE0T+ia9qp3sodC6fHuNOpH
XLWf46K/u0oVk5lII6/Rp9vcnSDGTOYzPaiPzYI3fKL9LoH16w2LuCzseT4qZnrDGUGxYYFlfcJz
wjPHfxi0nzzFJv8h+YlB8zWdqAABXll3A2QzjxoEi9L4rqZP3BKj1pYV0yB4xgYmkojo1u4an1lv
Nj0rVaecw8FAxa+wvO6b1ujEqxaDHljHE1lEjP90CkqEHG6kmpGFfs5OAuY4OphLv6BzOqAGbrfY
8PShIX8g8XSzBNVRg0gqZMma60Fi7EhE1CswLvyoyOmtWom7iyT4LpcIvLy2n8oFKB632RGDEaC8
sgQo0UmiEU6MfB1IoJ4t0Xp8Ns1VInF7CRpdJAF8QqL4wBnFp0Di+UbRt4coHJztJOF9Ba7e1q8l
0k+JcNJoaf+pS9wfnd0ImBIBqMECHDr++YAz1+tBggLpQWKzJOGB9El9CIkT7OsRDa/io8qIu89U
oIOllWRXrsHaUftCEirMEEIrzK0pgYXp0FpbN6o/cgkztORhWEvAoSNRh/zkcCZL/KFbUpGtzyAR
A9XkZyMxiYUEJhpf7ERwD9ykJVCxmgsyi7A0Vq1kNnau0hxHiWAMR2CMIqKbsJLU9aqzszX/eCbQ
AuuTIgJzZcJz1AhpbjlFYDyqEveYiApsFfSVNzUn/QHpjFWTBEQyQdmrujIHmP6SH5lIlGRS9EAl
JV6yYWW1GxdQ9uvoiz85SRSlGNjefGYkkXawrvXrEr6WDz20PXaU6zZHg0m+Uae7TNFCsB4ZTkJD
pLR71g+zIkJPXdAJSxwwLACJHg3tsxLWj1lZENlwBed0zgAy5AQKExUopzMnD1pRXiV1G7/MYnEA
dIXRxdy77sqsuhUs2eu46FyIuzjEy4JRRvQ2pszhhavPZgzdyJuE8jkmXUvQKX4mSHrIzOwJR62z
NVrF9rK8kS8RceJHse9TirB4ThV5hna5e4fv+KrWogNdCbLMvbwExf1dt8XjkCnw8Zvpqlsad+82
za5c2lv02/s6soO12rEHq/uG2Oscw7+M562how6QqEFYyIvjyMncuNFNqDbWyglJLfWZUR8tdaGb
MpFoUn0Xl9EhdYKza4wnZUIRn1ma8KQQqyS/CUEqzgr6wkX8lrhIAHbaJbvQGBC2TayHE/yrg23T
ZWraJYAUK38TrcU7S+2LtW3UV+Wo3CJcjNskTeNDWPQ8yiin63QeXb4l5vMZWZ31Be+koBzD61wT
7B55XK6/KJuLGkC5k1+0k/WHCaSbrdpW8U0Go8R39RYaFa2EW+yKWGMsViuVqc3rJYlwN0kUuBo4
83aiTWQdtLHhx9BG1mJJ6PRurE+ukZiuzGU/d8mZ0fyYG8mFBSp7bYyqvjVGI1sb2KM2qdnGmwgS
7TYLkLup+qX7wp4w1aF3xBGVF0Ec61vdmHjVJ3y3Uc5Tq4+sMbOC9isu2FRiVbylVFlzOAI5vraa
wZK5pBBUgWZvlQS5Jcnx2tYhPsgiZ7fOa6r/96rzR1TAxIT191ed2+i17f5C3ZW/6+dVBw6xxm3T
ZYtHh42UcH+MejpRTnnHYJVIZhOt9r9XnS9EMRkZSdD/SsP83DRyC9KZAG3p8VFNfvs/uupY8hb2
Z3nXZKaUJH4cZxI9gI7861WH5IxqVFmd4cJxAAGafYtIOT5gWceRUCvnKsLQ2uIphFMycXdnDT7z
qLkL6uMwuR9lL+2G4o74S+ahU+GWMUS1akPg8q6xc7N+Y3fBmqd+N478L+4YOqty3zC059aCVBND
7DDwZ7ZT/Ro5yWnu+g8nidajMNYdkJLVrFWQ2c3vbGbxvMJ3M9oSKGCc97ukanaNEMcW9zOi72ah
jpqNC5qPNVzY1L0543A56lGPwdyMqaDTXzPqDxnMnyJ1sDZOAEmmYtW4bVCiSM6hKplQiKyJNIAb
VMgpOK2NZJ1GyS0SccW2zBjXQzVdF4SlVy1opdGWehTf3JE8lO4t7gg7vNCKFQj2szCyd072ajvr
XNziEHcROKG7JishkZNTVIuRtF+bnFKTCTcOdbpKhiqjAsah8W4qZw4SF8wV7fVWh59+zO47q6Gq
tS58uAfXETaDVeGKgzYo5BKt7kRjCfCTfsvcdh1DAFr30uaMs3CrLi5nrLTd68U1Yft8ZbriOUm0
m5luc1oIS1Lh8AS92Tbuljx+pmmJnneQ87GbosvFFGxr4pjU6ieisb1DcTN9Pe7nNRc5oMmBcc1l
/TFK+P5DnCCrhfi4Z1fmrrcxPleFYa7ztv8ok3SvtHTVhDhm4pbxsNNsT435OurUUitEfVJZAJGY
85upwXBUwlmG59pvw5CrRl0giHYzUvfIG86DMyh8LU/NbV7257J0cRoH/Lu3mEi0qSY5Xz3D7Log
IXzRxCLeK6FGfMBmZWzqHN6ipVyZtSs6WldtA6O8LCJxUceWQ6sC0auwjS/VpHyGhBFv6kxqnnHj
TwAZ7ZFvdBwIFWvZsKs19UrXW6+y6LROteDYhP2+Lar7Xhm2ZVucorLcUOONwpjHrMHbAbiaPTYE
mCOggerwhHn5ox10T0mm7RjDyUoKYGeFXZ7Vmb/V7FyV9QjAQgy3bpptOvVQL5fdcAqUeDOrYh9O
xVmziit9CHY4vM9Kj79/mIetLtstZBC2L6PF1xc0C5sKBj6gcQC7hqGlxgZWFvyhRW5VHvaIHK95
b/u5OnyC7E6BeBmOtK7xqJK1nBK8vKX76SRTD2imBnSL6rLVCmsfadiil8DMG66MBvCuQkxbfP00
akxGAOEpGukXco1NQ4ognCK2LkGabPLBfO8trON9lL6XxvBUL/13OtSTddmyqA+N8QqoOHnV2B7A
F9ndmtfRAGunL/TmqIdZd+TdI8eUyuHsrmuS4gCHrCJPbLT5yrbucUYBL49wLWx7c654luqCe4Mz
ATp3v6DnbqGYbPAHnJc7E30IMLrB1vtSKfK5v/0DqD6KRjGO/dSXx9EqsuiJCUkfzmlX7cqQcG+V
zNm6NFNzE8cW/CpuRVoT3rQBTVtdOh1Ms+g3jdJMW1exjxYkB98iVib7hb7XDBWEW2zMW4n5lCpM
XBGQCUxyi30wSj7MtKxTFWpKfcgqX6rAfI2SRvc7NyEMvdSfaMIDGe0SWmcBnkVVuaU3HRvoOZ1O
M6gwGuKTTVopJ7NorpWgP+Zu+TLE4+eiGPR7UI/WaqSKwgpES2tMB6z5lgqNVjjVa5wi9gBEX3U6
lyaDnl2KOMZbVU8ug1ZcKMn8nEX656Kp/Cmh9ZkO+UOhxr6yHPR5AtdpEZcJm5uUoXGlIkBLOFx2
zCLnpKaZ6oupfB3DZc/IR7JDmWyvjheyj3p+aTsSE2wJylJgFSLs0PTlWIsfT/1pUeejsKbA46dQ
7ZyCqqiWNM0W+gfvdpYBjogdlmBY6PGI33Wpv1jho95A1XDNJPAjBTCNm4qRL970iIhiZywCfjnW
G/xjMdEYdyrP+VSNa4aZi8rF9UH6KIRl6JzjsTjBM0THwnwnSCi1eUt9RPdqi3FeMyXdziTBKLmQ
IDHBAWIl/X3QM/H1Y/FYZuUhUVK+x3556qlzwrNhm3wG2MRbqq54Tdl9tELc84LeqBX9rXnUrfTQ
2BlJec82TtL6Jg/L3L4ejavBrW6EVb7FHHQszNRLUyUAZPHcwUQOtsGiNaxemn0INJC37hiukFQA
F6TpXlizTJUVXuLq9ba14tGLzfacxj3cA2dT6N3DkGu7KmX1avY6H8DenNapisKLMar2BdC+LRNR
5Dm0qfg2OfVCUbStrUeQ1viBem2UnVWqz7C2d4e+wC5Z2+LgtNN9VpQqKTQOQV5ZcA+XcKuM2jHD
kuORdYU+z5N2hByJWwe7odJW9aorVIhEOpPwwN2ZsFAdgIQz9qYZX0V98qDA5doohYtlNQ54wVnj
bsl1HgnLvdKbYfFdDZKyXU7fqbt9NKwaU4nzfTENShXUTdUy8KchYfnK9ju8w0FePamluzPM5nZ0
9aORKISp5tRTs+ioN+NrmGfb3tE/RLocMPNes4thLd6pt4UpX+LUcfGuj7x/FcY/FEZUv7+/dt/E
w0fTxu9/sWSRcuGPm7dmfjMhugLb+s89+efFm/WLjXECIZENxx/8+x/WevObyjqGRQqWd7CucFt/
2bFwUaflCmFdZtr/mcXvqwj2V4nRMTD3o3xiqyC4gu/jz/fuSC8Ga+gN/dSUdV05Fwq2HOr4EAlb
oqrCTFIarXUj9RnKAcvHEiKuzTMv3bkDCOUiUZx7WaQ85pOyt6zCOPXcE/1Rb4sjy8T8FpL6eO4n
s7oo4q783oXdeNDzMb01tbE5mmUiCq+bnI9Aj3Fwm26w0ZLGIqded+VLpCKggaeGHtmM1coU2TbV
tdFfsoJKDlT9T8WIlxu9tWnuFbCoINkRTiUkjZhv11jXEp1XWJJ7bMnTqzzvgzsdie+GLGMW3aqJ
lYbtNnO0etljuMYz0LD1AgGoEdfV+YK0TveshtmVNZHPXF/Or+QMh+um0VxWzXC+8CQs9qBe2naV
rHMrrpN7JVmwOtZD6jigm+y6WY2NAUnTGub6Je173g8DVSQL4q/v4NxqqvngdhXQGrlpUodGWMdB
LqGCr31ULldTxLvZUim13FjNcWEYMDnaZD8TmRM+VUM3TEKDs9Pl4qtkA9YlGaqLHRjLyUrqbu/W
bjzcLAne7ZkX2WJ4ER/M8ZSTMC6UP/Yb/+5cZRrq798IMrO/+pAf47/YO/w6jMNyFgy6yPtfTz5v
i5/DuEbchgYLXLeyUkiwEv3xTrC/SScVeJEfu4WfrwT7G6O9xFjYGtkY2f/zj9YO0kr16zvBErpF
u49ryaUrR6/89V/WDkTdLQufvQIQLE+8jHIFed0qMhu0ktaVm5TSUAUQrsfG/hqzL82ecVOtxjp9
HOeu9HHtQOkDesmCLvFU2y5X+jgHfl27Iz3D7Rvvigdoni+VWp9mngb2eu5FlWfN2gSpGVTGPfmQ
ba7lmBA7iGw6ZnmrNr6zxPNQBFovMNRrASFoNboBzQVJ86hOzufEXLNJxoo+2uRedgatl3SBVKFg
W8hF/WT2Ve/HWgUjVBk3SVhVfl0q8ERTOrqUZjumhLBNrsirtocoy72fW3FQYhse2ZD4wWS+VNmg
zNdI6u6woXtnZCotJZEMQqFa4atiGvcFIwUrU7GpJNZskIAzXaLO6tlYDxJ+lkoKmsShCbSKXALS
ejV57yCmoWwLgNdA1IzuMhvu9bZ0YK2BWEOtB4QGdc2R+DUNDlsigWyTADQ4T4RT2nI42kHbHmq1
eKt1LuTwqriCr+GA4ny2c1O/rtOQOnWkPiKQAFNJ+KYOSxiKu1Xpin4qzPIBZbtk6zyVF5isZ09x
iLQ6WObCal9k5WWrtducMHQmnMNkBU8cbdh6UmPeE9/f0Hen7jX6CQh/tzO1npOO26bkhZzxwuH7
eXTDLj4MMbvfSjYP/j/2zmQ5jmNbtr/yfiBl2UR2b1h9FaoBCi0xSQNIMPs+I7uvvyugQx3ySqZr
mmsqEgKIqsrY4dt9uac6CIPByi+Bpz9Q14HZraIvD/IokfG4w7Uz1DFkKM3M1k1Gk8zaGLzTbE53
esuVV3da1eNHDUZT6fchDSZB3XBLb6xLHfobbTQBRjl3duLug2zepj20JJ0St74LHzovv4w+99LR
nLB490uR88pzykSJTRo8T57JYT+4JVRWHMS5NtMp0rS7UYYPVTEfmyG+b3L5Enf0n4xeQ7dzVC0d
0hkEkK3t2MPPhVVhbkaCyw6z5Q0vOf1KMvlI0LD7hp9Nm0J7jZRj78D/sgdCUp/tV8Bd+PaAinUy
O9EZcM3tutpPsPCOlibuYzm8F1qLiPHQSMNYYka6C6NkVaEXF9V8aBzjSfeTgcLBZNvGzS6eEnYG
7N7iNn3NZci47iJLd6SDrLqiaiYkaKTBKaun4c0PjHKt5xyxzozFEQs2dRImnuGy1ai9G1lW2O9W
pUN8CZL7OYwugyGe62Y4RrbxlNW6sdbNaVMXimKdaudA97dJXsChYssQ+cV7z60cCTo4+iEGThJv
N1nGX0PSGTrZcVLme+pej31X3PA35/WI1oXV0O7AzEAx2BjUn1Ojwm34GumMSAvNCb8kEBgL7jTM
6DqXyHaXxv2X1h9w0fVrwmDbxPJeOw+WgRSUXmKixpcIk9jaNWH1MrlqtaSc/oNwjp4pr55RQ84d
cbU1jfUSy2Y/tM0y0/oAOVHcWUm4d13rzmR3sJzm/mT31BGOdrENCrYZflNRMeZuEayeEzM9hnr7
6Bbkc7JEv3YRclWVnSIkeSq5ngln3zcxrwW1XF9FrtypzSnuTTIXudyHE1NXEve7zKwp2jWvvEkO
pUSMiJru0gYEz1z6sqXsX3KzBustsk3f6ngUhhuoVzcaEv+iHrS9mMROb8SmA5uez8Nu6DFp0uo2
Auzpsvmu61OMF3lNM29zM1a8ZT187nmbPcIVf02H+CJqe9814qMV1YGF4t6woqe+je9tr31g/s3Y
IQWb3o6IMXnvKXFxI5cznsZyH5jNEVjloZgV4NkYEKHSGy7Vr2Nm3dN9RFqc6cgoa32ZODqFLfGm
qKqLDeksdr3v/95WPm8r4m/9YPfdWxG3lKy3f55N1Ff+uK7gieDaQXkxzi8yvb8wH+Fp8UfcZOzP
KQON/sds4nFfwfWJVQtx2bEd/uiHJ8L9DWMX5iAVKsccwebhnwwn1q+5cSJJnu7p/Ah4z9SNSudH
/3k4gV5gpQ1034tE251PBBPt5GwIPTHXXZezNY7rnoRkZp/tqr6VKhis2K2NmT/0Bt5epopjbTZf
sqk8ZG1xjcG+dor/aiVUbwGEhb5N3hZELJvAcEVhwzHSh+c5KT78mP6psjdbjAlOeWeDmoUgjnAx
g9gFY7EyBYakrEtOoLBgvHpEIKy+MN5NOCKcB2HGQrX3jL3uWk18AILSke5j30xRNnkiMIWVxfIO
ZIZFA0Nf7V02etva9Q9OBqn1wQo6jsYgHxIcU34YiWOTxO2XZAhQ4XsrN+EsQgledjK5cVm0M7v5
dotc1NikZVqvoSy2cHvi9k2o19xVHLgV2TC+S0fttLPi2a1snorRsPXghG/hwr9VAU1c7lCPd4mX
DWiY5SkOdCzBADYWJFTX9Yy/NmJJUgbMK3rwpDXzvnO1a48aVfQDD55ihVf5OA72xef2svAqZ9lk
JnJ//FZp5U0mXW1RdvIk3YJ+da3aeZGL6Okb115qexxU6yKoz56iuFgNAZlhxxlwYOGxA9Z0DP3i
nJvjWZbNuz61Vz/KdmbiPCJQQ01xdwF1JQ7jyKLOqvusmgGgxdRP6tvBbq9Nh7g2DvvEEc+5C7HI
9958rz1kyYAXNbfMdeJ/LzgRReacofqv0Zu3opqXRtmegri9xRf7hZIilDOPenGDWSk6Y4O5eCS0
qIg6Fy3Jq9F8nkkj9SZ8Yo5CXksEWgToKDonuIJby6cKzIaU2B0SO9lWjv5q2smG/s1TZXXvYekl
a/XShy4LrgZXG4RHzxmp42o7/HP6WZpcTuvk3DgMeVTddrP2aEfWPsPJs8hkuQI8tW8JLnuxt/CD
+oMWYMS47JkN12OpRxxK2iao7CMosQ1dQqwaetT5yTgOAogPP8TSLwwQHsaR+q8De7xlE3XH0DXQ
ycabYYz2ZctxAYroo3HNa++P1wbj8iIIe/vOteFdOUN0dgJxmmwzvzQUluxznMuE88zSYoLs+X3Z
Y33RHZtKLt5SUplH+lZb1s5QMdv436ZwPGPGWYncOrpxeDfWnbMa8Qz1wKZWVl2/whjm7Wc5FISQ
R6j7aaNZwSuLhtNAGHnj5fIhZflnaZa7SEXX4j+cgTml1EZYuXCXWoRGTTNWsTYj40S9wFXQTbGk
Q4S1zMgr3if+bVJp25YalQqBcVdFqbbUWjfZ0C9x6hK5xSiztKGi6Kx+1rw7eLVMk1Fftrc17R3L
QrRQ+8DHRFN7k+Ucq0F6tGqM5Wz0cqc+V6Yq1avzr8C+eDFmbUUSmGEumPhldcyymbenuspawQ6z
aPOD9B3MI7l6wiKljh/VjOyEkaE65jF4o7SDAGWWL51L7px0er/U8vksDes0pvE3bAwJeCuTfj48
2aOKTBZJf3UK8wkm2kGzw52nyWyDRlCxGxtOto9htRc8ASBWVUu/KvCb1oFcsCqqN4mcjmXNXO9Y
8SVN68fekc4yisaH0IEwEGHCLFRsAS4N9AVjSVM5/p0mgc6QF0sSmz42C204Ys7KbkAepct/z/7f
lUp0gv9Ll2iKt+ZbXPyVNsFX/zj/kSsNSykM/n9O+f9qE+iVHL1YEQGBEArWUTR+nP82f4IAAe8Z
DurvU8OP89/6jXwzblfUCTUH/DNxwjDRRn4RJ8j5onFQjIwyoZuWrv78J3HCH22t8hk9z1rK+sVW
OppHrHfvKG2t/5TZurprWGhOGvIbIQekuGCo2+RxSlJyTJ9iXaF0u6KG3KpjREHPGz+lPfm7zhdC
80P1G7Oe8WJR/64IWvD5WX19SoWIkg26YfcpInqsn7h3EOnnze3q9EaFc/KQU/D+SKA2MZdZqk/3
kcHCFRx+Em2qit75EvP4DvQ6RYC2dJ8Ko8c3yEWtf6pIlRDOt6t5WoqCKCoPmLpYplbl3VppX9HQ
WCdfNLuyd8I3wNPRyhgQfzVCb0EJYXyCbeHJZR6w7Vl6sRMs/dIEbKjnSyxA8qRrbn52naK/5rjg
qe1ITbGM3aLfSS2w2b3X3quJP2omUuaXMzdV6YwL12MXDcAhc690G7JRn7s83tF6Mn/NTc1aRaGY
2mI56VyAzY307YTwp7BkWu693uq2dsMLQoP5qPVfurgxDHx/WChFYsio4JSNUFFRRPu5J/w2WHRE
7/wQi9x6qppw65IWv2ubPnml67S9893WpczKMbCkY3Z/yIfq7FttRaBG47d5W2hhT+Fzq4JaYVDK
eg8VW2IEi83kS4pr/2H0ibsgi0jAHwPrwWynW0Xn8iysgmRfo9yMh9yNxfDhDF744Vu+u5WqgT6L
o7ImH2hCLNIoacq1xqWCMW5fIs6x5lITluV62v1rbfoPBRVv/N8/uVbxR/hXDy2+8I+HlvOb7iFZ
2r/DhlQK9YegykMLP7bnW6w4vN9jrT8eWtZvXCeU1PpfrfXHQ8v8DXXWUl3gAoj8P1RU/yrIIizW
9aRasY6z8VRBl58eWjGfevaOnXUyPEZtTMU1a5CldOz0kMe8eYmY9rOLKVjolUn/UDHN95LBO6ST
82jJxH1LI9UaBgxFr18TNzOMW3KXkIySnlTYou0L/5KXHUs/S2bxvu4m8wGflWbvjVZvtIXva90l
D6zgkE6OTiEYNSjGfewSlbvhcZW1X/0idIZTY1WNfYcUu+2dIvsgMIYlu4glEqXwZLLV1f7A/1wl
dPXU7UVmokJSwpVSgamSOLNwidq5daTfmCqp09SAFpdFAYEoGv162dRNt5b6FN/Y3SSOQTBX6Bt+
4HNxxfECNyIgbOsK1CiiEPI2Mu03mP6vbhp+ZUinW134+RIjxUfV5R+OXxqAF/JafBu6eOnpxdKs
w2FfzLq96djjvg7kche9qUOjGFJpQA0aMKaiRT0bGtlzn3nw64ibY9dahbmnjj46aqmprDMNTcG1
HFkLVfVWKCoN+9qOYpYC362HJxhrJr4dCpt5cauVQ3yjHdpg5XX5jSf9cmkHjcu4a8/7VOBpjk0f
ddmPttxQ80WDx2phTV5CZIesilukq8rzPzwB1dPr511mIASx/dlOAf25WsucFAYN7lExvogIQnQ6
zP2C43ZbGj4dYN3Iva0ZzqnFKKgzcYGMtcdVY7v2OtEq8wL0Kb0nEWVdYdkXH4kuGuxbcfGc9IL6
2bj+VsDGvfl33vqct+y/fWp9wTDxZ5VFfc2PB5Zp8OzhMolTDWgz3of/PrBgsRGc48HEsKSIa7+o
LGxmYFSRqrcM3VYZ+B8PLA97p4WN0wL/zF/6Z8A1Zrr/NWXxP9AdHoBqq4T7/H/bMbtmSIrMTMZL
1QU0WsKZoAbpoTN5eCUKQTFjKod+ZGQX+gjy+1ahKmBhyZ2cA4OM3gjhSxEtamGdeSjqROVoypjc
5MNi/lp2CoUR1f27LwcwFgqTkSpghh+GlG3mIGJ8ehQfBFyNRgE2OkgbPQfvJQ+pox4UhsMI3WIr
2ZCvQ7qVV/QWPeYK25FlOPQSH3s/Ij4fMNAbID5GBftAUokvmQKAkHd81XRn2Pko+6iS8WOtcCGR
Aod0CiGiqU+5wa/gEhtspEe983f4ouxLOJiUOuU+QZeKxSvaJQG1gucCpsCXkgkEWz3t3oXMj7Ke
tqmvfRkomYfEwX6aHMTSjqqDLgWbl1BfU+NwSBsNNqtHK7hxKkt87HpXItfTN8HlLnq1e/E2OnzE
y6F8DlmxKRfKuopCFmVhfN+JNkNz0pyFVRiQdUIILnNf7zQn/6C0KCMa4xychitlNxfYiqgX3XRc
6zZRwPq6sOcvvNDwpZ3qvtSCs8imd2+Od5aKDonK+hZM7S3+w/6Ia63BxAVzph68M04aEofBfLZL
XtKuGlfIDrdpbr0j0SB2pF+1oKL6PcKAn40XmAEs9Cue1QZaOLhVc2/DPaJJkgASuaULhgeIDrnY
Oa1zLMfcW5euRYrJiL5U4XwnhMDwiUivjbO26AuUBd4fIzSsOvUu1qQn1jugJXvaux2BGDcKbzQA
0/mywfW2AhfdLth6fWhtuomlJ9j2TZvPcT6gUP2k99mhTwgFuDapBZMCPVatILaU6S1QgLdQod4m
mG+egr+1CgPXsCLlHktLiIARV5uVWDDMT+sYj94aT8NGV0g5FEp+yQozp00A50KFnhsUhE7nncpK
7ZopPF0fi/2ogHWoNPpDoSB2aA87Q2HtGgW4I7uWr8xggBcD/M6CgjdNpBsUFi+17YcGTp6pgHku
5DwXgp5QKD0ovc4iV3g9F86e5gHcc7uJdLuC8IGQAXINhqFXgL6gs49c7rnOK3ifDsWvyWR8MOD6
wUOgu7WMeZVA/mXWS2sEF20IN4NiAoohxp2tMIF+3mxbRQ4Mp2jl1dl7BFLQKys+6nxMqsod+cXm
r+TJD6M7VPtUc71VFhvGhbYdaxVILbqCqKCTReAtlF5w7muNEIvvrE1yKyQNEKQsVALWw+Md1gc6
pOoqPdTTTIQU3MZOrzux9tpSbKcw8Fc6hSf7qi5uwkh311MorQP24Bnus6FtBauGdVlXd45GH+Kc
TgdND18qLbduzQSMEE8/zMGx8JdAHw4a1I9wDIO1k1RfajcJv7dFvqITV4o7N0k+5mTGi1f4lML8
O/X/Z+rn6Pr7qf9QvtXyrwqqLL70j2NU/41x2sBCgIvq1wC7OmE9By+Oy9VM4KT4r1jBWckhbhJc
MHQTuBoSwo9jlEA85N7f/2f/NNRguZziv2gV7CpI9DgOZzlnM8fcr2M/Z2w+jmJqLpOGVYmWe2mg
eBaFl4CHjIpLLJwTviSEURRS7r824i2PtjnUr1YgrmmDS53MOg7VaJ/0/U2E3tpb8phi8NfQYTP0
WA9ddjbh4fQotVNlHXW6dBYWGi5LlE0QuscWbReo9h3UqUd3AoHNhOihAXvkB3Ex0d5d7FM04oj6
EMI81p74wVODikyxwR3dr2c5obGiMo+KcuajOzvezH2eR1kcPtrArTE4JuusGd59FOuAuFrXWK9W
yCUCRbsInE2Hwt2LGnB5dPbLcQMdiv6hCt06WVhlfWIX/uwKEkOGcfZRgrW0vCRGci5R1HsJZAaF
naTEFzYwt1EkT+EwLTkztwJFHlr5uTFJXfnf28ZXtYtI95GUhxktPxjwYaPtJ0mP2Z8hAs0/CmcC
SckqZxfgVM391E48cMf4ErItoHRyZbA9sNt8N7NNyL3uvWC7QAXAGXvYsWfrYM/ykDfTTtYwRtlK
uEl1Rq5az4G/t0JxddX6gjTrrlMLDZENp1StOIyJDW6QvlmluPrsQCKIBYjz7kWyHQnNfDWHPTUF
xbJle5L4495gmyJU2R/bFaegXLlm3xKQiSWEiACrlrWxWso4aj2T0a29KtnYuJ+rmxpnt1rmhGPF
9p7bSs6ep/jc+DSf25928gfubJ9bISx40b4rYV9exDzT6pcIp7C2fQNmzzdwwfQK6KbIbmUtMezj
703LrjoUToPxRJHgjEwJyvbc4/SnhTEbYdZwo6Sgy5qTq2mY2PY4+LEw7JKCyA6kXG/NP4lCLpNC
YkMR6ZLKBamgKHXShVcX9LQbtiDsYjHVKyzlAAAsJ93MinRXVljriQA+cpjRWejgYkkyyqk8HPVz
8n1QxDxfMx80EHrkf1YQoS4zyRwBYo8eyIHrE34P+HvQQE+E2p41DA/JqZEd0P1PYl/FNdYC4hcr
mF+ZPw2K7lephUugiH8s2oH6V+I9DDsw8YoLWLW1XLXCP5PuJQQzJt98CO2I5TJf9oosmJreR1j5
r8VkPtJY9cHPTzy11OmdUFxCq8KAEClWIWMIbOOUTo2+wuwM0JCO30sP4BC455MYp+/S1Q8JAERR
RvFm1OQ6Bo0Yz+baz7P6zJ2xJsvApdNUJMUSpGLBxMhMnrLziHprJQW49cEoXuiS5rdc59+00mNp
MQ7AE4mdb5J03Aca/Rk6Dgd/7sl2E/HJuvES6+67qnYYRc9AOOa8b10Hth5+ApfVW+ghN5i1ufEq
koO1ZW6D0nzpagKzPKaABoPyDUl3SSd+mUIQU74mvsZBjQsaDzgsyHdNNiuaDqblGOirugieLeh5
y4n5aDYlFEq66ABEmkvR4ZOfm+ohwj+00pNpWo8Or/sYBC8WuWMmhcDl/WVt4D/jgvYHPqJxOkG5
5WPZUKjEj2d9z3X4TH0QKhZVQ1w+pqAtr/dg9x1+tv4AQ+cy5kyH00xZRG7th0iHjtMTKtAP3eAx
m2iwPmKN1IKkhDqN9HuGpRu7iB6MydUXPTGVokmoVBeDtXJG7cgMamBUTR/piSFiieNplblVJu+j
KC02zdCG0VIrA0xCULBY7PTRXgBSJJUrFoXuaWSoCL2zkmGd0uY0j0sTrtmEbkNSyDXG7C4u+/jf
3cl/ZhFGg7+fRU5vwI3+fKFX3oQ/JhEI6jgSMKC5n0Zv/uiHAsmFHh4E6wpKxQQDyU9rE/c3ViPE
HdmK6DgbfrZ5Y5vQXQMdwGBAAb7+j2wTSl/8xdGpEpWYR7lUoXdSsPjrINLKQda5Mw0XvbxtQrGe
Enf10y8Ft9AUlsXPNXv8+376Dh5iBmsfBh2bf6HpI1L8+h1Ig6eWdKW8tCKhFYPgA42Xdyy/jQCe
P7bB9d9/P5zu/8d3VD/RT5qqyT0m5sIvL0mF28KbFE2OdkEzh15ZtndDU3qHvrMreOJ2sGidjZOA
Z6iDMbDXXd5RIBIWzuto+uaeYng+TuTXV0ZbWgvLi452CaHCM9Nl1ejfei397o/aSzHntyU16oBP
sX0kYcM6dyKib5kRBkTqJxZ5GIc7kTrchbJ4Y9uuBQgnLrfBNBZLcpDJwm2IlqNPNuBdYwQ5b1nJ
+Oox3dFtVy7cuD9qdcCrlOAHCTxl3upWYmJ36wx3ASh3/CHWriyN2z7CN+WBUNexhqZJeENl6UJa
2mMDO4BL8ms/W7ejG+16+Ndro2u3cQdyofIOUWyPi8gphw1NWC30/OlU0gB373bstbhyssi5L4nh
75yarBttzLvaibTubq4E/0HmDUGkLBTHDn8jTcgzi6iWhg8Ks2qMX97RQUlmaX7EybkfU1RlPzhr
enqeZucZaCvUBJYkFMsTvzPjr/T6fcsgR6wHW5zGShwC01r1aXXsKAyVctoT4LvV53qJC4T90XSE
zXuUXlOuujnXuVQPN22vP9eA+4XArZsX86OdET0P8ik9x7K4LdIOaDni6JwedHrFFyMWCzbj8Dnq
kWwOHCmiaiTm2sR9RDvHy8l9cGPmFaxFOXQE401gK3ASj9iGIOwRvclyjvfhIiLv2srGWBjo+4so
ajZGlR+CLL6VhXY/9MUmwoa3KFV2PvYx2HXf3Ajd2HCSOzMc1r7M5SIajRW9ByuRTHcd6chFC7PQ
GcR2aPqNjtjbOR7GJX1VluX9XIjbPKhrcnIYPrss7a/jFF2JZ+wbOI9e5b0Qgl6OuC4eKp08HcrG
9wJTM2mMLZBL1HrYlALsu5H2HzoNrwURy1oYaFOuvzeJKi4tK6YlbSBMG97SDn0SdgJ2PAetaK8z
t1jKMbhp23LX2Pj55g44lnamugGngrbnQXE3YfPFx8zEZ4lgA4z4STTt0uQTAkkEB3RhZ9MuHVAp
mgxULwMBqoZ2SNv5AQkN7HPWMUWV90kPvyShDkQGbBGkZ775MnlLXO9UUmi7GBOqETBmThA8BrC+
Qe/tPh8z/wYZlHb8N4deCdv67c8nnvqqn0489vk87gkK/KcY5I8Tj80a5DYCuj/YAH8YBegMIVaA
5O0apKL+l4TNXZ1Tkp5XADI6HsJ/YBTk2v6n8wFKE1ADj/YROkpU0ejP5wOmnqxK9US/mJaNYd32
8NwgeMuvTSLXvUhHMtmQ8LUAJn5i+E9B10eLQPHyeWy/YyW8dxVJnzzGCmMWbH0g+1LT9y3QfRz8
4bJRHH7chqtAwflTy3ilEZ32euw6N3ld7+ueQXWOL1an7XMI/0xoC0Mh/3kz1xRwEq50W29X0Asw
D9rKhTDUDU65LGkO4EYTLLN4uJpWx62XcgE6oLmMazxKKu1BUwUEVPRiaqOTIAycmyx5ySgrGELm
Xjxk11b1GNCbAu7fvslVw0ECwHpSnQd6JWiYpgVBpw5h5oDsC3njtcG3yh9uYtN5NVV/gsA/tQyL
gMI7wo6hiY5N2QJPPuOtmQACDBQxzG3zFFPMEGIjWyDj1Usnyx5Hyhuk2pdReLxTfcaT6ncw+DcE
FD7Ec/XWqgaIPkjjNXmRfBmZNVV/FEUEI3eMxssfJ1KsDC2v9HvRRUi5xOjV2+6zbYLtwAIP5caj
iKIO7Etq0kxhU1EhVVfFNPtPieNvJCUW0Ny3umq1aKm3oFUKHhSFFx7FF0NLA8ZAFUYc2XRiqHaM
2k+fatWXkabdi02BBkT6huIxKjWo1jANKzxGaXj2IxGtCuo3cHd1S4NCjjbgyGyp6DCp6tBVZwfB
Uh93oqzW2Cu+FaF7HwbTFmTTuM7L/EBt9ecx/UEk7mZ2CuaS7pn/titK7h+i99C+zRjBOuluQTJk
R3/MHxDFjZRYnss1CS1rBaEpWrmy/Z4b9S5xm63Tk3ntZBNu+IsnQ9brqmSDoKewN3utvTf6ZkvY
7YuYjK0f4nyoPBteBdmdriyxwhT5nUwifPtI5KKji3zGnDEpIQNfr7dM5+ZU+VkLxCVgezxZWzMs
b1IqnjOf0yyF8S3S4ZBEXbKMmuncsOfk4LrpZnz7mhe701cZls1zVHTKKuLTHelAG7qaFSSmkJKv
XLvTK7++Qq1h+WyMMZqRvqHvEFiYGXxPw/EjsH0dkhV4D712D24xPrVO896llNFWZXnnhv5Wi9I7
o6JGxoNJyHJrVY14Viy3B5uv06drd2fDygT/OIojXTQZa0x2ZTeKdRSIAXCsOy+TvmXBHOerDqHK
cia2L7QmjuOrF3hr3Z8eeaGpJUu0/RRrx6KOtngA9wWWP0cVyyTZyteCXZJPm9QDRDUywk1iPlhV
92zUDZbUiWr2fNz0uQcOMU7wMsJEBrlKLZ27HZiO8irnBXnqwA5Oo9wwuSx7ogCxBhIMA+9qyttV
FPsvFNfTINdEFAkCNYTbQOlp7nAnToudX+tnkBRfW6YIncDENLpIZMJXKsMJIv+eRGJFHxzIKUg+
vLY2cyXru7b5Kpv+kozeqk3Egx6HpO4noK5Uw+PNK9YipfNFB1CC4dHfgGm/t2XwUTusoTDx7TtM
OwhY/Y793LjUakZDK78N9Bn1kutqEtvKhAqRTMjT4BY3o8ZdHCcoaxTvC6u7BaPOjhjRopn0re9K
GL79s25W+0CMG2KW7jpNMp5/Y8Fa0imvlvS7ZTw3F6GHINWSnbr4V3F/Dpz5gY3doja7u8CUh6bu
wSozr4z+tJpnc+M4DU5QYw/toF+1ALR4Clsb3+5u9GLeeAUQaZ8qwrrS37OgNcENyFcLvW05oCnv
aZ67NZToE4Z3xuwdfW/ql/MMA8OZh4OOc5GQfrRMq5BQqBYrYdCWwMfGW5Z1mzSbbqm0/g7SCtZF
hczVrdvG06A14PQa8GpMXXXbud7jGMtomdsoeWNu+8BLzewlhQm4Cqv+e9JKal71p0wW+6Qrj5HP
REij3lXCzzQZ++xwYoI2qnM0jps6mR9Tw6T9s0+feAKv28K+a7SANibd/6I5zfNY4+XNI7A5MneX
+M2WnUGuHMElGtXqM7wRHXbSQEz7oPYpAAJ1TqwEBlb6BM9rSFcGyJmNNnfD0hu9dabHe4AzVCsN
+bway+ibQL5eTX05rtrGePPn+WI0tBkyLoSr0DRYSc3s3Kz6u0seBf9ZeupiKnYk16dVVMbPZWLe
lrl5ZcKlLaIUizFqv9oYAbm5HFxturQOjg2T51fjEpyh/PVxnLQnPP0PWYzjYiisVcXaifvicOlT
XCZi9hipWUFlMpF3DXyWtQ2CaCdUAMsJetbWuUHpye/OiK/j/w8/yr+4L5t/3rA7IM/UUpJlPpdy
zAE/jydY9AwxYSu7GPf54sXe9Lf1cl7kS//t4dqeaJZcl8tuFx/t7bCKduUmOuDFTU7R9t8B99Oh
IZgH/2bApRTt7f8ts7fmr6ZcvvSPKdf4DY6HgXkVZzN71l91HYY/ga3LxtVlqqTMD2eZWiMJx0LS
+R0tytj8Y8Pk0KxND7fvmFyEgC//o4YeYfyJm0Uchoylp4Zpvpv6IX5+G7lGaGRZY5cX04OnA21J
tRUoJVTRTcwxNPZDkG4y8plFXmBmRen/kpPdpDR34xH9wslydvFH0vd+mTW4eywcllnilsdMBUG5
Oz5NJEM9v4IO1LKa8bRu3U/pg9ME9OF1Mzq1CpWWiXs3hqDEF3yCK32deY5OsbZNV7Yx6mcq1Xri
ZqLfRkEEKt7m1l3oXUTfng/QrqkwBkwrwwtZopTEP3W7BNc05CvW+PD/GfGmCfqfA4BvFY0dO/Ne
f+wNbCnJtB7MrmVBIFJVLNQs7Mb+6vDvXFY5/9/aD/INuL1PcZv0TJF89akOWk9BSQFeTvlsNkV7
LtXBPqu4+rKyW5cFXX268qDbyo0eKF86TwJ2/VjVcW9BnVbudTSaC+U7sFRAFA4z2TpHPlDEDQ0K
67tD4XmlvPDkO49ipH4BOIgSpXHMF8o7PygXva+qfNJanqoKrlA6ldlm7jVqaOyDjQk/T/qrDxhQ
9eDa5JCNnasc+xPW/Z6NS1jM51l5+qVy98ukecnU81mWqrqsOpJ+4tmrMgFhiqdFpQRKlRdoVXKg
UhmCzHQ4OZy7VKULLJUzMOdwXavkwaCV+BowjrC4gbUPcJSQQqnnVMbFF3S3G0ulGHLiDHXPeyZQ
AYfY6Raeyjzo1BGvBTNRS6dzSyyirq2Ta0esBv2STIfKTqRGsYIBtG0S7TYdSVfM2CJ59bjaSM+5
mo55otK9XDdTPy6FymeYn0kNldnIVHojSXWX/BIt12GLoZeER58Up1AEr5PKfmSatw1b0iB2pz8J
4iGJVbsrI0uIypAc8YiQhNROG0RKZqIlNRGTRmVNcpU6CVpnH9YcFGxlj51sL3HZ1tpdWbrZ/DGN
Wbpz2Xz4afVE4IPbHPNNq3ZJhcQwkHT+lzLVr53dfPOqCdMjNOo53CA4kmQZDn6nbRrdvCmz6ByX
5WFM2nNRZrcYW1J2nWDTskAOeyewv8+OJpEaB0tsYxm4OESLfr43nfkU1kh3BnfEDcU/42KwHL6v
2LIt2g5K8KPkAfyoddvYX1olCObSfyyQoqiUvGnMBnWxs9llWFCW5lsGBhZurD4mW97xsGM90q1M
OuXoq4CQHaBIWm13JDLAfYw6b3B7Vxe/EQ1f93M14rZXsmakBE6z4UItctxZfmig8Ckh1EIRhbQd
7molkppKLi2VcKpJ3jlFxcawULJqjr7qobO6ovheorvmSoCFdP40Y4O1jVQxORFpbSXX6k3gLti8
vnu41o+UgZ7ikXqUSddvuWXxYXBr4wLjEsOZO671efiQGHcWuTNeAftWe6voX+mC3tRCf5li9+Rl
9cZv82iVIwnT8dwKyJrhc4FRnGUhIpU3sSUqV3rV3PpxdqMTd5+VTmfXwTmh4WEVO+muxEDDHGI/
emxj+c5gsHzxgJfP3EZ2CSe1NiqS78m4rjXzNPIxuHVL/4riuhszEROR74G2/g9759UbN5am4b/S
2HsKzOFiB9jKytmSfUOUpDJzzvz1+xyFbssqG91TArYWmJqLmbEkFnl4whfeEKsTNQ+VSZBpqJdY
9YxnBcAVVTocGeQJAb5M6wFFdNLtOWD8757zGOTWVVVrVxFjwjmgTFUvjSkP2hdJrS5kX+ItthGc
PdcqJ+3YgYdtw6Vf4CkdhDGl8xrLRS5n2xgzGAbq84Z35sNeBiMftMe6pKRzXuiwMtT+qk9hRyc5
yKgswCDLJt/oCxzoMWs+7MFluRKQePxRQGTDJ7C+wdUPDtmOkVqj4eURykt+ca0G7tLECQMogNnM
e7rBE8erHiOVJFqqtGVpWLAPiuLUq8iM6WJfN0Z/gjJNiJ9VsWzQbjKi/Aw78/gwV7pzr+6v5CGb
S642LKCQHGeFs5IUqbvxx6FZdI26iRw6spVlXWKZTdlFqBL8J556jqfg7fwmnvraPGwJpMTf/BBI
AXhFKZRy3Evc81eDDM0TzUQBCb8HpEaFj/BbIOXwE+CxIPT/ZCO/BVI20B9gsA4/ehZE+UeBFACg
d+VCGlfw9S0F7RUAcjTw6be9C6TiGiABU1c+r8PsHu1HdLQjTTpWpYagCYu7SwMApshMnbM+cqtF
xsyf1njHlJmB/mKKLB54MeOkLGkTg2ETUhLmsu2a69ju89NylGAW4hVV248K7QZKAB1Nc3aJ0ewO
HddeBBYhFqXwJT4yAEgdXAitTr/t0nKl45Z6U3gecI48f4SQwv6b35YKdm2QIQOMWYvHeEAjKav0
lIZRt+rzvsfkVpi+yNi/KKGuX0iaeeyanTOvnz1iOsmdScI3JsZAZsBIBkOmRzexuwUoWMgz8AoO
kU1ExyiTrthH4gunps+RCHeaWCupFyCbMHNB1+DQihRH6iKl3uvlvMTgpsLoxjcg7QrnG0iS94Gq
3dSZk88kzHHyyMAlZ/RuyzadB+D0GuQf2f2VFWnlE8jJdBL6/irCcieVw9PKVL8mWPGEo3OjgBLB
MoayYKnKN1h9qJORl1D72OIiXwz+v4YwIFx+Kux+7A4UB4rKQGcMtCJ1+cIW3kC+G1wGDm0FKens
7mgY5HJKN/27XILNNQVBNzhuh8w71MLqqjEp8PWG3II1SKqpZcaT0Iwl4Kwx4k2UkWlmUYJKHZWN
1YHVFa3sDAUPrITtc0fNh2VMI3HSmuEhnTSHzazcqAWmw6hxe5dSQ+tpDIxHB5G+s2JQv8c4F5mT
0sTmme0XPy+sQCBQYCXpRoY3q40kWqRxmh95gKR8QlzE3+xzojVEbE0H0cQh+44OqYbQQnbUlOpZ
nuV0bAjW4D3o5URpCHwVQ1qGfUtJVGm+mbn/JYqIEMsGV2fVTwGUERfj0qGCu8RzmprpFyugeu1m
D4nnLmGP6kd6Kl0qdv5d96kx+P2yoZU2TSOznMrAvw7NuDjMzeSor4257mnngxKdQwcTvARKXHIW
3smde2skaHXUEWwJX7Juy9ozuG31xM1VUMJ2g9lTkQhYhXyVDPWRDNy0iMKrIMBcs4m/dnL5gL1g
RicLTNFQtWd2GTUzojigx3J6atgMrqFLR0jV60tTFpkANpQzarIncqE82uqozap6uMs1tUHkK0dx
b0TRp0bBfOjbwwhJdorG8lkXdw8+Y43sd461rxkUmLvl91qanzoUUkw7W4S+Vk1s4Ea13C2sEoqH
FHcFbTjwtVGIl9gQFYBYYrQFBuNJmCx3BUrGiR2eFG6pToM8iaYA+5awSb7ZYXFMoftWicYvilRd
cn/ArTk6nc4BLMfpyw3PvLHtZg7lXpvy5AQ70Cu8pb4NtZOfezpZFly7/kiKBukwS8D1pLimtVFx
rTfSxs+jK9tMDXIkYn1qvG516FpcZSx9Y4Vd2rx0QTOFmhQfJol6GcpqOrE1HTFMpRonUmZheJYx
iQc7bgk1rHMKSlQAuyyekeBFk95DMUCVaZsY8iMqzeF/ztkXNIrx27oF6SPyYsPHzpz4sz+PWhgk
IF4VdMR0Cg3vbE20A5pyxot8ByWn13NWRx0cnTiLphwigMI5+K+ChXPAv8syehvQ6GRO73/SloN1
+vM5qxtg+7BVcfgvbkXAOn6AbSDb05tFUSUXqZLr+mmlNmS3QxPICTiKoVMd0K5tCyrVyh9JLL+N
2egvqRJf63CzJpr1MLRwyfLGW5Us5yIPUo5UIwbRZp3JtVIIHjzWizkoSTdDAoISqL9Qc8ri6Byd
SZIbCTBePUV44bwa6ifJBLRuON2TjhbF3M+qaeNQfs7s4LjXEfbQnPBUyouLUs6MWeZrI9gvs53h
1hBPrKEENyfOoqZ8aIN6MSYRjoSq/SD1ysLvagUYoLeyrPosJbmltyScWYruK27vt3E9xNMwUq41
o7736JouHZuMVdE089wLCGMp9qDuYETlXBm8tYUdxrIyaOfYNFsQ5D/PhKQnEqvXoDCKCY5Ul70q
HyWysdHrZKmhBlrpwbEu5EFLSZr2gBZKp+a3nVUil/cNeqJZT+s/FQqjlXnvhA9aR4KD+Char4+l
Wp2XY3BnIE4a6TYEBE1Gr9QwL+AdkCAiZZr4AbYXtQSmQMI5k6rENT4EZ2grno3PSqgyJhyDUEc1
Cjs5DJWqgNIhrNplwhGji48LYXNiSD5E7V45Dn3U3vFPMReFh0BS0cgA+vtbs5KO1I52HDZzR3YG
K0N2kvN8AJ7PpmoflnmqLtGRhTiH5mspKuY55k7LyPLLWSi0Yc3W7edGg14shQu0YWFPlF73xUVS
NkZa1pQbkFEpiGfJKZYlotq9qtoY5EWUr6lu9TUatXo3YtWFbC0OvfjEq5K7ZKG50w7hNcjyZ75Q
u+3r8iHECxk05AW92EMvpAtiquFSRyg3qfWVo/Qp7qHmbR0WNKC9LxXSuqbQ2I1GRGgMobvbCgVe
7J3v0xB5Lk/Nj1wrv5Ma1HrjqruVhH4vfwqJXGj6ai3ivpKK2ppqUkZTOP0rcBZBlp9SYD6PdFCl
9dAjFoxqcNO33bwXQsJWBztcCksbmbAAlTZhTVpz4EZa2a9rF/9fucrJYUv4nVoU3jXRzIqDW61G
XtOmIz1nrc10IW5s11a9TCtgsBjo5KteUd2phtzZkHfoO0vggkLMKUYUkyEY+vMhLZBLUZOzIOVM
wffRxFBMSC2jueyivRz1BdGxJl/r2pE0fI9kcZR62Etb1VwTAs6+b81tlOpA3H8H4U+Fy9K/l6P8
1UH+We7is3wYqJAgUQosxZ+bA8jhISmu/KZax5CCJsFwCIH9SG8c2gRUJ8lKqUBglYihyPBdrcpv
ntQcd1l9GefSad2GsIZSOG+IV2sOtShF6Fkj5KfiwkGA0Qi167Kuv8MfSYA+d+os7q11UJTfwDrI
VNvwGlCFbjYiAzgu49cxwfzapsxKYVVxiok5lNWkRXq7xnUKaJAazNiQjysJfW6vapqFP7ZHtdDu
VhHxNv1+TR+NFq7Q966LCjqY0Pyu9GJlJkB5aO5DBu2vawPnnj5M53HvdzNg2gjppEbJostYErZ5
GpdgD7LePctijZpN4/Y45nrXmCSdZ7lz7bj6SusHbKBQT6cHE1+5eX7meUqx8Go7vi+7Co/3DsAa
qlDk+WJhG+EdChE18kVdtGBbJTlQ/Yc+zejj6sECB+0jNvSrQc/QqqfWCtK3ucRDR50EhgE8X2ij
03SctpWmIyiW3eCbe+S7JBkQBKEytJeBQY6jojTuBkRcVlYiuuPF/G3bXhtmaK/guT1Q4YTshpn3
RE1VHw/XQiIdkr47Oo4IEGWDpe1Il/hzP5gaa7uILZtUypam4MbwAsTs+0zG/mVSZsU9wg1C1RtW
RTL08OxUjE98mB+zjD3byFN5EQZyvYjr7KFxaFHlTCQkmRZD7RFt88onHHfltNM01Ax7cGUOWM2p
2QbmIaVhVA50LOB9qtdaZiAkpbe3/hBddpyJ0zoElB0YqFXD4/XQnxuYbrYVzZpQKFjHRHS5NIJm
1zGskKjNwXeAqyR3uCtEkBhqHCXS4cnIjAvkLjc9tSIYxOG9ie8ASnugos0mPVE0ZGfQMSdelhF6
sNKVrCiHdZyXU31Qm3lky9k9eKv4sBqLW01l4WP8cieBqYdJ/dQV8cJxw1sOe/k4MIEgc/4fVoF3
Tmf7Bo25lSZB10KmrofuQGl60LuVa2iQniFeZC2Nd6Al7Uy1rMegz6RZUmbetMjycTFk9pXiJsXc
MHygz2OfzvMcGY02btxDuRzWpsRkqP1WXQA0uelTjBlsVzoKPG9dgnH1ABCAEsvhLdArTK38IotI
+zJH9uaSYjzmKDEuAPZ/1WXw6WFhXsiN+SXTzaWbC19hT/seyp3FHkszUVVLf273qb8wLYR1arMS
drwD0y8UxMZgwKR2VL6apCH0IoI5aEl43hK7tj/giRZaUGpMKVzLqXoKyhy4RuCGlMLz46DFOhU4
+3IY9YZUDZpoI0erkILWNLBB6ss1dbhCJb3NwjKe48ry5HsSqaftlQsaAfI0S9p2lsmA2yPE6gfJ
vANeoMBKRdEjKaQbuOG3WJSgjxw406yLT5pKoRLX2DUeEBkWVLp/XZsQMNDlOWwA6E8T2bnFJeDC
i5EfpfiLOlEu4QSGlPpUA/DUe1I8oyJ/KBE5CWETmc549ZB7yUUP0N9jtDhCwA2aMsRFTCU6iqVS
bn43ZQBMms0hkFAfjZwIQ0jqrmqsPrZDeexwkk8Gy3hEzniJkAmJi6ccuamG5/FIxtqb0Z2XkIkX
PWmTjb5QKCVgoB5k2zshMMAeSoc5qDThUS5ISnkT4rMYoEJYwJ+nvPnVQzsFPkx4o5S0oUAPX1kJ
OamKUqHudHc9MRc8qBG34jxL50WteVPK4lTQo4LH0SE82V2pz8HN4A6cXdj2IEBKRTxl3X03VQvY
DUiwOS4rC7lt7vOWpeuXymXspUL2STvVzKAWcpXlhG7BNWYGBtBLRSO87Nmny/SUMgo8ABNjYrt+
BEoCjCuo74oePm/SyLdjHBz1Q3yj6lIy6yq2VEtGDZsijE2DmyIEJKYsbk7yqlykMl6e6KLB3Mrl
jFkbbhzBIGpNCjN9uhmTEqYUvFcP3TZVTe8Rq5jVVnibt1SZK6I8K2Lr8wtmpu9g+pXRcpgVjbWU
+/K76RPSWVmPJg0xXxuidgUSDSG3QxdvK9gMa9eOHsK6Odf1Aq2LWpl5YF/g9nBSasVqKKyr3lfm
vYErqltk130Fn1p3MAKQZoUc4g6mIXeN5tSgoSCB2SDkmhPwx4dNkE9jqjIwH0JlmBaepUaXcTqa
9wMsKPuskIA5XMZGnbezQZShjVw6+k+t96XWSwX2173zm4a2+WZLCspfvaWgqK5QFJXJJVXSPUMj
C3wDhyqYZEK9tHFjEgLX6Ne/ZaGaeUBAJJJNQ35zonqr9hoHUBgATFAe1jXKtMo/yULBgP6UhfLF
DqKQ3IOiI8Ag/4S+QDdQLtIka87GmHYzIJtvEB59Af7DS72NZ0MZ32Hgg7hr5p4Gpd3NDKXDcC5t
L5IqO7QcVBEqQ0URuC1mGK4fY/ZwOlhjR10ouKaC+dQSJELiaTlWJLDJbqeeYoxH1CKb3jSp8vO0
l++6EbRlpd87BQ6Mtu/oC1fglxxpXMS6JEG19+FwQajCTQ5uUh5+oXH+LR+y29YntcrqKkdf2fxS
IvCe9uld7Uh3bjoc+6Z1Dob7tI38kzoLvlWZTdjrWBelZjzGQLTmCQ8GzBqBEVWlTKhkX5NBHpBj
0jDMqkkZi7hbIZZyO6h5OUezf6HrAL3VEC40rO8YEWv7qfAhfdmxeVLV8U1Hiju10TM2IvsqC5wn
GqoXdCbxssSqayJ7YT13u+7Mztt7KryPbp19dQv1HOjVI+UMYLFR6c2btLNWlZVcQJRbCTNTPfS+
xSq0vDy281lngoLs8uyxUxx8OlCiSAZQ/DmKerMB8dwFeNxyCpLjBB2Ao0J3T4gNZ2OQl8QS3UIu
uyPPcVaealwh2/s90MONlZQ3GmV3mIr3iTfCJLO4SV6SI1Pk7jogkqpMsqb2hXlpttWp7/TfEVbM
Zgh10hB35WlTgsSFR3ane8aVXiN1bgfRje6p3xvVbMEJij83iOMpgN4nwOyqDJAVpCBijyaA/F6H
S9OMv8IqiahVNGdI+MlQ0ayYclttTGRdmphjtJCtHE0BW14WtQ9qK8pBe+W8NTp83VSlwk2IrRGE
2AsTmfWlWxFaED0dUZZAyRQFwQlA2SsrBlOUIjfJUQb8yRWJLrAJue6BRY1VCBKKGWdYnTS1Rybx
UPEOEzX35l05XmceMkVNanPitgtXbq5HWzsKOnqzloqbYlW4ILliepBtEz3WWX9vU9BCqCZ/kJUM
38XMnZYdhcZODqCXlIgxS/5KTnGflixoC7KcLU2gf4qMoUMlS84KOdIB5r+9ScLihMy1hWgZ5nQZ
6kPTG4aZ2tBE4FC5zQoD6giNbWZjggJh/VA1DplyqYBcHGlyU3lSj/U0Smc9rHDvMFYdX5tFUXen
2lHZzkup8oMvDINbI2tiwc4wA0NbmG4ipzcW+U020+ucArFTxpU/JS+wLihKBebFUAT+hVb03tcA
2G8VM4UmQqXnLK+AzAILmdodeHMQXL7leNd+IZOOOEZ/KccSrrtFoM0hV2uYp2J3OuttVM0PG4zP
SR2C/lnYSIuTWTVogHtiQAhmXyDFpKn3USfLwSndAMGfjX1l1pvWo+whMo5E7VDiittRBYPnG+lG
MadqZHk3cm3F1VfVbT1OaI1SPwdtYrrfIiPw9VNZBYs7iZ2+yf9Tsn0t2UIt+N1xSaiVpNsOTP7u
zwPTER4OCkoFqgJeUeZHbwemKh/gFaGYlqVS1X13YNpYy9AzlRUVG1JNUTnG3g5MvGX4Bw5N2IMk
lADD/gGbwhRaRT/x+3RZpkurqI4O5E1oJvxYtlVag2mRJcn5aPhHGoI2eovXb89aGukQIftN3QpX
6lM9j8n7NbTGG2UZ5PW5j4QvCjMz2LeYFUpkN8pRV+XrqNG/uhVQsLQ+7UcFGV99NfpmycGSDVPf
8r5CobvEVSmam0myhi9iTmk1FRM3ZmaOrIPjZAAoEUccEnZS42Kl+cdNk9knKYhj2xdweRK9yQjx
oHSiBxPzI81V6FHib4CsyiR3wvtOaYXlnHluUythK4EbFkF4P8cq8MnMMvJuvOEge1sUqdpIOcSe
6qSurUPNTW4oRm1Adp9C+RYI4ZsOXCteBN4S7Z5j0xCNpNY8NzLrKK5xvnd841aTpBnKj98631xU
LRtpqZCDd459oTsllDIAd110FnbhIpcUl5gVmAZqb2gHlNIdEiv5JBvzmWyEJ36JKfeYD8caGrOH
8KnQao9Gis6mkyyk0PnWc4YabXOi4894lheXwNkWCVnpYCnnlgFDQuuvBgU4dAjRUAOMqymg8WLp
vtXdOyRAF2ZDNdDBxWDF3vMQDM1tjjD1LBlpqSp9eDa0DB3WGZdy71LGiczkS6EfmkNl11TkPQS1
C6s982REKKBaTFCb7qZD01772NXyv4MFpYJ4Vhfpl4bbcAtkAKKAnBYhpqUR0G4tbQVB2wF4Ge8h
DCV2ONmOZ9lg03YatKvAxvyuc5/0glMxMM0bPTOvJGQ/plJtnjgJAU5jWD4mltTJg9K/kqCYGGCk
IHdSquqL8MZ200cbb7jUTUCERE9hWn7xHCIwUzWoo/BQq9xVOnjgnJIIDnlTS1UXmg70JrAg6GRB
BHutmY3oQRljBOWhXUUqxrpp02O7hsskiuL5TDfh0nB432d4dDsQFIRXAvbGMfUzzCnhw/UKVLmq
7Gl6WmDOejJKxC3zU9Axt8UYUXhrKFDJZIxZAAcIqJMN3RJBp7jMjmXYhSd4T8IUqO4D0zqBpHuV
tlkwtQLE8iRlHJdJSkEsxZF84QykiACLvuVpcW23vHij82YDWtVy4z65raTMtNZAocK+ajp31WnA
bBTXPbSI+CYGk36CW+yiH0HCl3h4YwMXoVzUEYWFBXIQ0jiswYHiFl1JVKwY0UktlUd1K83kCPeO
AUqJInSPSQ6WKBYk8yG6Qh9dgYGB89u4pmG5rlvzxuvbmygGXdTbF/RFIfp5I4U1lXKIFkhfBpu2
Qx1bc3+sF/7Qmkdg54kERbwE+4ginjSsea/DkV4Z8yxHoAnBWG2mSvpG7avTWJZOkfUCf2AP6Vwe
xjW4wtWQ18Y0M0GlyVYghEgtazKU1KzUortOrC5DwKBWlq7qERVqVCW7Nk5nXcMM5N+/qzGh0mDE
LvLSFJTsWLqiibGpEqaEbiYBibp1m5fFWRUDYQPXsslz+dzCjaYKKS1icqLPCYAhJyjhAqOS8sRV
5GWPJhKwtNE+LlIeGj9UAJ91+lVP4mxBcRlD1sDGhKelvgGRe+Xig7PKlGFdmFCPHbZGylGLAtEE
pJj107H2zysMVgnxZHs2BNp1FyYdqKzsoqjkZVjqN/nIXpkp14pXqNNstIkOM2uNOBuOUj7C9Tp6
UIFsTgy5ucU4RJliVFXM45DWTGkwqaPK/dqa49eypuxe6d7Ki6UViLZGqLNEE71urnMbg6Ay4v1q
EkBh2lXTznIxOk3ooJQxWwUqH75zzka39Aof1KBe3SBs8SVS67uyQNMjjpo73RnllaJ2CgVz1T8m
eoXqY/vGFBMzQQQvUFhRtMOyCq9TU1uOOTo3bqR87SLK/k4cLozYCRGFhH2j5SaBnfqlNS+76mh0
7zuaZ752SRNmQtfrC1Wm20BLeDVpvcTP5UzNaRbmsVKt5NDcKGz0QJ2dC+q6LG26lSsJL3si3zGY
x1aAd5quz3BuP6nyGIF0dWX1MdsvmmHjoFwjzXLsZ8OIOW9zZ9W0COSiPirqM6GYXxswvD0YJ/DA
0a7PnGCpFiV83TK4U4ZxCQI8PKHToixGqTx1BktagL+NFlrdh5ORjiIYGMrQhpvMu9w7QihVmlam
7UNDzjz6D3gwqSucfzd2kPinXVoj/Ua5y7DuQpADyxIOBvDDYhzOFIrzU7/iPVuQuVeeXRNU4qfK
/nXkopx3rmglRrGjNK7cqtYPMSc5gy5l2+tGH4bl2INP93O7mHN4hAiJeovEUE7V3DhkNzoySbgj
W6e5WNM2kkpd+wIqih2iLei/VdKKKtSZrlfeKvXlDbJvG/CnDxw5IKL9fjXI1I5ti6KkzKNzj5Wm
ZLOoj1H4BFJkeP6STA4mjwvlDLnTe79P2uWg1OG8K/w5yAaMqmDkmK0kWHzmsSeMAh5q+UjR3Suc
JVeS1KkQk0muc5w+gyZRpliG3jL8nOJKvAHZedSChljkKPKUlbkM7aoCr2qlC9J9UqlSzqGiQYRS
iu4+rXvaXvG1oQ8zMzZu8agikwhpnowR8m3mogzABLNOaCH1C6XOMSPSH9lcL2qnS6cAg7DYMYsr
vKsWbHBYr+vCOVQBTOyD27bAU6VmDa8sTM4tgOaTyPVRinGiYV72NfMBRwp8/UYftBF2Qj16Mbmp
V8BO1fVY0ZyLuw610pDN2TbPCHLvyzI/6a3YotwszRWE0ozOBpoV0tdBEq9oj1m5K0uFXE/l4jYH
Hwv7HPV9haM2Uk4Ctz524+zOyJV7aAmcEal1V6n9aUb2g5qUQzdZQifLMbwvlCNSXIniwzE4KvXy
lL7MIu9UWh+BDbQs54yWzNsmb0/H3p/gVfUQ68ZREdGerLThBE/wZjWUA3XW3jxNFBuj5ISNUIKX
aAQ0yQx9FWXqSSePx02pacgIgGY3ESgIuyS50GCs4T1mS2gV4mzb+nh0IEQlQPsq3ewkHaZ5BUoG
UvGq0lW6znL4YHXEMHbfXFg56FWnbLOl51TVSVIgFFFoHSRdy2ZTcpdR7EpL59nIQ3029TCeDT7M
WjoyAzw/TD87dJ5tQOJnS5Dx2R7k/0v18pV9P1vX63lKh2i4bDblcLWpSKGrtyxF/PQio696k/17
v/T7C/2xef7mmyHf/Pd/rZ+SIMV5ri6Dx1pUMZ9/dvj03//1kuDJP9dDn2/s+a5/e514zdM1T3yD
RtFTUTUdfRR0EPhQ9Yyz1Hv9saQIuTpDB3cqBO9JJn8Yo1+Nwu8f8GU4f/87v735D4PwMwD4Hw8C
KCPLoL6rUnF9/kCLej8IOmQrXcMT9WXA/48H4ceJYFCt/inL/zvPzwP+NQesA5VXbAJ8kp8/vOl3
j09lnAqACghLeRmfvZwJYgL/GyPBG303FHg32ajTILEuPh9mgnqgUu5gJuzlGBg0wHceA/UAXWXb
oJ3xMh0o+byfDsYBrEPDUCzEofjs7cYAhO9d+evvLIz308Fh3TvkSwqNH/ERP323O6KuhRAAJmLU
pfZzd9x9PiBLKiS/ER/9+enlAzZN1dHw+BWfvZ0IHGo7TgQ6gFQ6mfOvOyA7zbuJwBZp2Qil2cre
TgRajTsOgn2A7DoclF/FCmIQ+CBD87Ly/o+PSRbrz7HCBxDzP94SdOY8Er3Amqhe/+KEcAinwCbt
7XL4uS3wjwdBs0VTAHVU0RMXnw/7Iq0BjJcILF+Cs/2bCfLLOn3RRfgzpv9HoTPekiJgxDzlZSZ8
CJ1V4TCJCJXysv/s3yC8vp3dBgEgBcrwICeeP0z6dxsjIpN4Q9soTe/tTCDG23ljtOAz4OnwMhFE
HPp+ENg0BK6DctzbIO1nsLB7AE0+KbRBUQX8eQxYDUBvLM1gs9jLpxcaFrtNBHE4QCLV9Y9Pj3sd
7FJEVV9TzH0dg5eXs8uOgJCIjKArFjGvq+GniaCIw8Mxof/s67b4GsPtMggOu56GoRax8fPnwwGp
whI2FKT893VbVHaPEowDrAdEaell1xP5wbttkXhRnKCIzbxswXt4QH7GcsDmAUifQDuIz5YogdQK
ApuztzNh9zzaPOAdUzfRqVY9fz7OBJOfUWTc15kg4KC7HQ6acaDa0HscdLjfooB3y0HgaVgplFpf
juH9Ww5CfGC3QeCE1MkfUf1+GQOBJ/owCEKGFTztvh6Ru8eL+gHCKqpmvy2Hn/cEjkj0u6i6cIKI
z75mkq/l8F0OSgvPGxMusPkaF/08FCwKJHQdRgKc1x4PxWuOt8tQmAfk1ITH1mux8efjkqEA6YaA
mxBT288Ievf8AXy+0G42UF15/nyYD8IBlbauJQ7SvRwEdec0QrOETB/zALzl26R/t0kSODkmBrC4
Jrwdp/s5FC8b1y6LAvipyCNQANg+FKpGiR7mJiI9ezofhLvWboempuO8KYs5/+vqM9Q6TafouN/z
Yeecglat7jzTY16f9EOZQT4wdNqZZBV7Oh/U3cNpwgOK7H+emR+6lOwP6ADYSFDt60mh7RxJskni
U4fsB8/5NunfbZLPfrUyoHVhh7Of2+PuNWjzAHcbUXx9LcR/CKeRMAPiDkB+X6tuAtG/4/ZIX8qi
2kSl4edkAmCHRRRN6W1fp8Du64DNwCG1Jnd+OSE/TAEgCyRUaP7u6xR4Lf/sFiaoEJgRrH6NnT8M
gkKpiS69vrdVFgSXd10HGl0Gmgy2+QssF+RXhFApNO1vQrl7AoGRC/YqDMMrmGnbTBBUXYSe3o6N
vTwcNG58x32RSrxBd46c8s9HfX9CEkzJOJore9ub03aPnUmVkBCjN/caO5MmvB8E+YBqE4Rr7eUg
2r+qm7Z7EdqG2g52g8rjy0z4MAgirBb/oVwvPvt6XAq+/o6LQkMAQMYF6rUn8bEpQUUKWAOV6H0N
G1+xZjsclwLwqgk65xvMkUd9vyhUWJqA/Kg37WngJGwXd5wJtGTB7qHV+9qj+/mk4LiEVCpzmuzp
GHzwSvt3gDzYJJnEj7/KHwCDKiQQ1KP2dBBet+0dVoP2/IxwS0UI9m4ZMAMUU7OZIq8n6L6Owe4t
CequVF11lULT8+fnxQAPAMdR/ESclwh7X08IffcIkpKjpqqg214jhp9nBUMBzRaUx97mEq8Vj13W
xHMJGsnxt5n/IWIgq1SxAkKYbk8XhVBw3fmEQKGHpPJXCD9RZ3NIJUx5X5sRr29nt5kgOpEAWX7V
oVMOqMEp5Nb7GkDrO6dStK0BNXMUaL8CvKoHnBOIEQvkF7Nu/7IIffflALYPNwQgbC9JwrbePT+k
UQHcU3z2dmfYvegm2lIKdABK7M8fUrR3kYOgzYHtEmZb+zofdq83IeWiY41rYCj2q0EAGg6QAW3u
/VwUxs71BXYGeFAmeI5f9OZoQwCDp8SivERWe7sodq8ygPLSkPwByvYyH3jUd4vi+bgUZ4Wxr4vi
9cZ2Oy6Rj0eLiDbl8+fnQQDFwRaqKGh6/P1F8TeOkz8JylM/iJ/mgikcbKptDOZf/cIbJ/fjz3/g
0TzzTd/9pqAqv3z5C9tG/P9/vWcuPx+HP/z07Xh8/qbXv399xI9f/u7L3p7r7R9XwaZcl49YeTxT
o19v9GydwG3+n5j/elr/zAISxfG3f9tOs/4zavz91ZHw37xd6AdONlvKX4/6kcP99y6erJ+y8u1C
P1yc2bTzxSfYgm+7cTaAna89XcfrlldSvV3rh3tnvu9+fTTLqg+vlHCD6OYTLp7WJe6bWVVv+wrC
252/YraJ/zjLyq3jT1Sy8/Xn8R+zrGTyvF3rh/Enhdv5+otyU6XbLs4Jv/PFl/EmTd+u88ONf8Zy
XTXJQxY/1R8vL2gfO9/6YZJvymAdv13qr7sXhOzdL4/i+9tlfrj0Z6zY4025ZcwFembnuz4OUm/L
RqB8xlo9WUdb9jDB3Nj5tk/WVbXZNiafsUBPsuqP/0m9TbzZNjKfsURP109swG/j8MNs+YwlerrG
6GfLtT9jiYprI0215dYFpHLn13q6SZ+yx2Db7iW0TT7h+uXj5untQn+NuwBJ737xjHt/u84P1/6M
ZXqabR2Tz1ilXLrelJthy51/xko9W+fbZstnrNOzTbv+GDsaGKK/PcsOseN5uWYLeLvQD6/zM5bo
Rbx+3GyJHQWrZOd5eIGa1rbgTjTqd774VUDoWAVPW0ZGNH53vv71+rEkJUjrLWepaLJ/whekf0w2
6EZv+4LPWKrXa/EFZboun7ZuZKIr+ilPMQs23raH+IxVKx5iwQp4DKrHbd/xGctXfMdRti6abaeV
9hlrWHzDSRNUf5w/BFW+7Tk+YzGLbzld15tt1/+M9cz16/Ufk3X5sN4WMwjs+mfMJ75jijnDls1a
NCg+6xvKZny72F97qv4pC9tfb80JRWdh97unhrF1aD5lMQdVhClf83afPwzMp6zlLF5vix4Eomz3
gSEwSbbNmU9Zv/U6Dap43VRvd/rD0HzK0hVlli3nsOhQ7zw0Nxt/vW1oREF794v/1szzN/qEf6u2
9Vublt0v/ltR+10v/4WxbbatVdFs3nncv2bxln1eAOR3v/SvfdB/PybbyrJ/tjc/Fmvf1B23/dn7
WrT4jcd4sy7/9b8AAAD//w==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3.emf"/><Relationship Id="rId10" Type="http://schemas.openxmlformats.org/officeDocument/2006/relationships/chart" Target="../charts/chart4.xml"/><Relationship Id="rId4" Type="http://schemas.openxmlformats.org/officeDocument/2006/relationships/chart" Target="../charts/chart1.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81200" y="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35859</xdr:colOff>
      <xdr:row>0</xdr:row>
      <xdr:rowOff>0</xdr:rowOff>
    </xdr:from>
    <xdr:to>
      <xdr:col>3</xdr:col>
      <xdr:colOff>35859</xdr:colOff>
      <xdr:row>46</xdr:row>
      <xdr:rowOff>26893</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35859" y="0"/>
          <a:ext cx="1990165" cy="8390964"/>
        </a:xfrm>
        <a:prstGeom prst="rect">
          <a:avLst/>
        </a:prstGeom>
        <a:solidFill>
          <a:schemeClr val="accent5">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35859</xdr:colOff>
      <xdr:row>0</xdr:row>
      <xdr:rowOff>80666</xdr:rowOff>
    </xdr:from>
    <xdr:to>
      <xdr:col>2</xdr:col>
      <xdr:colOff>8964</xdr:colOff>
      <xdr:row>2</xdr:row>
      <xdr:rowOff>143435</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68941" y="80666"/>
          <a:ext cx="1497105" cy="421357"/>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3</xdr:col>
      <xdr:colOff>29136</xdr:colOff>
      <xdr:row>0</xdr:row>
      <xdr:rowOff>0</xdr:rowOff>
    </xdr:from>
    <xdr:to>
      <xdr:col>31</xdr:col>
      <xdr:colOff>562536</xdr:colOff>
      <xdr:row>46</xdr:row>
      <xdr:rowOff>8963</xdr:rowOff>
    </xdr:to>
    <xdr:sp macro="" textlink="">
      <xdr:nvSpPr>
        <xdr:cNvPr id="16" name="Rectangle 15">
          <a:extLst>
            <a:ext uri="{FF2B5EF4-FFF2-40B4-BE49-F238E27FC236}">
              <a16:creationId xmlns:a16="http://schemas.microsoft.com/office/drawing/2014/main" id="{0839F945-5C2E-E4A6-29C4-7D2F527B6365}"/>
            </a:ext>
          </a:extLst>
        </xdr:cNvPr>
        <xdr:cNvSpPr/>
      </xdr:nvSpPr>
      <xdr:spPr>
        <a:xfrm>
          <a:off x="2019301" y="0"/>
          <a:ext cx="16849164" cy="837303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356571</xdr:colOff>
      <xdr:row>4</xdr:row>
      <xdr:rowOff>104390</xdr:rowOff>
    </xdr:from>
    <xdr:to>
      <xdr:col>1</xdr:col>
      <xdr:colOff>1008305</xdr:colOff>
      <xdr:row>5</xdr:row>
      <xdr:rowOff>210620</xdr:rowOff>
    </xdr:to>
    <xdr:sp macro="" textlink="Pivots!G4">
      <xdr:nvSpPr>
        <xdr:cNvPr id="7" name="TextBox 6">
          <a:extLst>
            <a:ext uri="{FF2B5EF4-FFF2-40B4-BE49-F238E27FC236}">
              <a16:creationId xmlns:a16="http://schemas.microsoft.com/office/drawing/2014/main" id="{4E86FED9-E892-C07F-D16F-7267F2B8CA19}"/>
            </a:ext>
          </a:extLst>
        </xdr:cNvPr>
        <xdr:cNvSpPr txBox="1"/>
      </xdr:nvSpPr>
      <xdr:spPr>
        <a:xfrm>
          <a:off x="589653" y="821566"/>
          <a:ext cx="651734" cy="285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52C6CF-7A6B-4BA5-A492-58C4B92879DB}" type="TxLink">
            <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rPr>
            <a:pPr marL="0" indent="0"/>
            <a:t>2,400</a:t>
          </a:fld>
          <a:endPar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299420</xdr:colOff>
      <xdr:row>7</xdr:row>
      <xdr:rowOff>115496</xdr:rowOff>
    </xdr:from>
    <xdr:to>
      <xdr:col>1</xdr:col>
      <xdr:colOff>1190960</xdr:colOff>
      <xdr:row>10</xdr:row>
      <xdr:rowOff>8817</xdr:rowOff>
    </xdr:to>
    <xdr:sp macro="" textlink="Pivots!H4">
      <xdr:nvSpPr>
        <xdr:cNvPr id="8" name="TextBox 7">
          <a:extLst>
            <a:ext uri="{FF2B5EF4-FFF2-40B4-BE49-F238E27FC236}">
              <a16:creationId xmlns:a16="http://schemas.microsoft.com/office/drawing/2014/main" id="{5B32B5B2-7F83-440A-8141-090EC8F003CF}"/>
            </a:ext>
          </a:extLst>
        </xdr:cNvPr>
        <xdr:cNvSpPr txBox="1"/>
      </xdr:nvSpPr>
      <xdr:spPr>
        <a:xfrm>
          <a:off x="532502" y="1487096"/>
          <a:ext cx="891540" cy="43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489DC3-5B9C-4934-A22E-7049882E51E0}" type="TxLink">
            <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rPr>
            <a:pPr marL="0" indent="0"/>
            <a:t>11,997</a:t>
          </a:fld>
          <a:endPar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242271</xdr:colOff>
      <xdr:row>11</xdr:row>
      <xdr:rowOff>164704</xdr:rowOff>
    </xdr:from>
    <xdr:to>
      <xdr:col>1</xdr:col>
      <xdr:colOff>1248111</xdr:colOff>
      <xdr:row>14</xdr:row>
      <xdr:rowOff>76849</xdr:rowOff>
    </xdr:to>
    <xdr:sp macro="" textlink="Pivots!I4">
      <xdr:nvSpPr>
        <xdr:cNvPr id="9" name="TextBox 8">
          <a:extLst>
            <a:ext uri="{FF2B5EF4-FFF2-40B4-BE49-F238E27FC236}">
              <a16:creationId xmlns:a16="http://schemas.microsoft.com/office/drawing/2014/main" id="{96CECFC3-7DCE-42F2-A394-43CEACAFB52B}"/>
            </a:ext>
          </a:extLst>
        </xdr:cNvPr>
        <xdr:cNvSpPr txBox="1"/>
      </xdr:nvSpPr>
      <xdr:spPr>
        <a:xfrm>
          <a:off x="475353" y="2253480"/>
          <a:ext cx="1005840" cy="450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8F0EDD-343F-4D11-991D-438374CFECDE}" type="TxLink">
            <a:rPr lang="en-US" sz="1600" b="1" i="0" u="none" strike="noStrike">
              <a:solidFill>
                <a:srgbClr val="FFFF00"/>
              </a:solidFill>
              <a:effectLst>
                <a:outerShdw blurRad="50800" dist="38100" dir="5400000" algn="t" rotWithShape="0">
                  <a:prstClr val="black">
                    <a:alpha val="40000"/>
                  </a:prstClr>
                </a:outerShdw>
              </a:effectLst>
              <a:latin typeface="+mn-lt"/>
              <a:ea typeface="+mn-ea"/>
              <a:cs typeface="+mn-cs"/>
            </a:rPr>
            <a:pPr marL="0" indent="0"/>
            <a:t>$649.0k</a:t>
          </a:fld>
          <a:endParaRPr lang="en-US" sz="1600" b="1" i="0" u="none" strike="noStrike">
            <a:solidFill>
              <a:srgbClr val="FFFF00"/>
            </a:soli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451597</xdr:colOff>
      <xdr:row>16</xdr:row>
      <xdr:rowOff>49858</xdr:rowOff>
    </xdr:from>
    <xdr:to>
      <xdr:col>1</xdr:col>
      <xdr:colOff>1289797</xdr:colOff>
      <xdr:row>18</xdr:row>
      <xdr:rowOff>152952</xdr:rowOff>
    </xdr:to>
    <xdr:sp macro="" textlink="Pivots!J4">
      <xdr:nvSpPr>
        <xdr:cNvPr id="10" name="TextBox 9">
          <a:extLst>
            <a:ext uri="{FF2B5EF4-FFF2-40B4-BE49-F238E27FC236}">
              <a16:creationId xmlns:a16="http://schemas.microsoft.com/office/drawing/2014/main" id="{EC6D6850-BA7B-4E1B-9931-26DFBBFE8D73}"/>
            </a:ext>
          </a:extLst>
        </xdr:cNvPr>
        <xdr:cNvSpPr txBox="1"/>
      </xdr:nvSpPr>
      <xdr:spPr>
        <a:xfrm>
          <a:off x="684679" y="3035105"/>
          <a:ext cx="838200"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E7C254-B0A6-49FB-9824-AC0E5C21EBED}" type="TxLink">
            <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rPr>
            <a:pPr marL="0" indent="0"/>
            <a:t>4.0</a:t>
          </a:fld>
          <a:endPar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487678</xdr:colOff>
      <xdr:row>20</xdr:row>
      <xdr:rowOff>48857</xdr:rowOff>
    </xdr:from>
    <xdr:to>
      <xdr:col>1</xdr:col>
      <xdr:colOff>1074418</xdr:colOff>
      <xdr:row>22</xdr:row>
      <xdr:rowOff>113852</xdr:rowOff>
    </xdr:to>
    <xdr:sp macro="" textlink="Pivots!K4">
      <xdr:nvSpPr>
        <xdr:cNvPr id="11" name="TextBox 10">
          <a:extLst>
            <a:ext uri="{FF2B5EF4-FFF2-40B4-BE49-F238E27FC236}">
              <a16:creationId xmlns:a16="http://schemas.microsoft.com/office/drawing/2014/main" id="{34190546-83A3-4CE1-8636-B8C21518AC27}"/>
            </a:ext>
          </a:extLst>
        </xdr:cNvPr>
        <xdr:cNvSpPr txBox="1"/>
      </xdr:nvSpPr>
      <xdr:spPr>
        <a:xfrm>
          <a:off x="720760" y="3751281"/>
          <a:ext cx="586740" cy="423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576844-E635-4173-9F52-51FC9EDB9953}" type="TxLink">
            <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rPr>
            <a:pPr marL="0" indent="0"/>
            <a:t>2.3</a:t>
          </a:fld>
          <a:endParaRPr lang="en-US" sz="1600" b="1" i="0" u="none" strike="noStrike">
            <a:gradFill flip="none" rotWithShape="1">
              <a:gsLst>
                <a:gs pos="0">
                  <a:schemeClr val="accent1">
                    <a:lumMod val="0"/>
                    <a:lumOff val="100000"/>
                  </a:schemeClr>
                </a:gs>
                <a:gs pos="100000">
                  <a:schemeClr val="accent1">
                    <a:lumMod val="100000"/>
                  </a:schemeClr>
                </a:gs>
              </a:gsLst>
              <a:path path="circle">
                <a:fillToRect l="50000" t="-80000" r="50000" b="180000"/>
              </a:path>
              <a:tileRect/>
            </a:gradFill>
            <a:effectLst>
              <a:outerShdw blurRad="50800" dist="38100" dir="5400000" algn="t" rotWithShape="0">
                <a:prstClr val="black">
                  <a:alpha val="40000"/>
                </a:prstClr>
              </a:outerShdw>
            </a:effectLst>
            <a:latin typeface="+mn-lt"/>
            <a:ea typeface="+mn-ea"/>
            <a:cs typeface="+mn-cs"/>
          </a:endParaRPr>
        </a:p>
      </xdr:txBody>
    </xdr:sp>
    <xdr:clientData/>
  </xdr:twoCellAnchor>
  <xdr:twoCellAnchor>
    <xdr:from>
      <xdr:col>1</xdr:col>
      <xdr:colOff>312868</xdr:colOff>
      <xdr:row>2</xdr:row>
      <xdr:rowOff>170778</xdr:rowOff>
    </xdr:from>
    <xdr:to>
      <xdr:col>1</xdr:col>
      <xdr:colOff>1052008</xdr:colOff>
      <xdr:row>4</xdr:row>
      <xdr:rowOff>52444</xdr:rowOff>
    </xdr:to>
    <xdr:sp macro="" textlink="">
      <xdr:nvSpPr>
        <xdr:cNvPr id="12" name="TextBox 11">
          <a:extLst>
            <a:ext uri="{FF2B5EF4-FFF2-40B4-BE49-F238E27FC236}">
              <a16:creationId xmlns:a16="http://schemas.microsoft.com/office/drawing/2014/main" id="{E2C3B28B-C3FD-FF69-1342-0999202CBFFD}"/>
            </a:ext>
          </a:extLst>
        </xdr:cNvPr>
        <xdr:cNvSpPr txBox="1"/>
      </xdr:nvSpPr>
      <xdr:spPr>
        <a:xfrm>
          <a:off x="545950" y="529366"/>
          <a:ext cx="739140" cy="240254"/>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mn-lt"/>
              <a:ea typeface="+mn-ea"/>
              <a:cs typeface="+mn-cs"/>
            </a:rPr>
            <a:t>Orders</a:t>
          </a:r>
        </a:p>
      </xdr:txBody>
    </xdr:sp>
    <xdr:clientData/>
  </xdr:twoCellAnchor>
  <xdr:twoCellAnchor>
    <xdr:from>
      <xdr:col>1</xdr:col>
      <xdr:colOff>312868</xdr:colOff>
      <xdr:row>6</xdr:row>
      <xdr:rowOff>2589</xdr:rowOff>
    </xdr:from>
    <xdr:to>
      <xdr:col>1</xdr:col>
      <xdr:colOff>1052008</xdr:colOff>
      <xdr:row>7</xdr:row>
      <xdr:rowOff>63549</xdr:rowOff>
    </xdr:to>
    <xdr:sp macro="" textlink="">
      <xdr:nvSpPr>
        <xdr:cNvPr id="14" name="TextBox 13">
          <a:extLst>
            <a:ext uri="{FF2B5EF4-FFF2-40B4-BE49-F238E27FC236}">
              <a16:creationId xmlns:a16="http://schemas.microsoft.com/office/drawing/2014/main" id="{76CAEF5F-ED8B-4DF7-A35C-8F543C630606}"/>
            </a:ext>
          </a:extLst>
        </xdr:cNvPr>
        <xdr:cNvSpPr txBox="1"/>
      </xdr:nvSpPr>
      <xdr:spPr>
        <a:xfrm>
          <a:off x="545950" y="1194895"/>
          <a:ext cx="739140" cy="240254"/>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mn-lt"/>
              <a:ea typeface="+mn-ea"/>
              <a:cs typeface="+mn-cs"/>
            </a:rPr>
            <a:t>Quantity</a:t>
          </a:r>
        </a:p>
      </xdr:txBody>
    </xdr:sp>
    <xdr:clientData/>
  </xdr:twoCellAnchor>
  <xdr:twoCellAnchor>
    <xdr:from>
      <xdr:col>1</xdr:col>
      <xdr:colOff>8964</xdr:colOff>
      <xdr:row>18</xdr:row>
      <xdr:rowOff>44824</xdr:rowOff>
    </xdr:from>
    <xdr:to>
      <xdr:col>1</xdr:col>
      <xdr:colOff>1488141</xdr:colOff>
      <xdr:row>20</xdr:row>
      <xdr:rowOff>-1</xdr:rowOff>
    </xdr:to>
    <xdr:sp macro="" textlink="">
      <xdr:nvSpPr>
        <xdr:cNvPr id="15" name="TextBox 14">
          <a:extLst>
            <a:ext uri="{FF2B5EF4-FFF2-40B4-BE49-F238E27FC236}">
              <a16:creationId xmlns:a16="http://schemas.microsoft.com/office/drawing/2014/main" id="{06A7D27A-8AEA-4169-B3DA-99D111C2DAF4}"/>
            </a:ext>
          </a:extLst>
        </xdr:cNvPr>
        <xdr:cNvSpPr txBox="1"/>
      </xdr:nvSpPr>
      <xdr:spPr>
        <a:xfrm>
          <a:off x="242046" y="3388659"/>
          <a:ext cx="1479177" cy="313764"/>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Days to Deliver</a:t>
          </a:r>
          <a:endParaRPr lang="en-US" sz="1100" b="1"/>
        </a:p>
      </xdr:txBody>
    </xdr:sp>
    <xdr:clientData/>
  </xdr:twoCellAnchor>
  <xdr:twoCellAnchor>
    <xdr:from>
      <xdr:col>1</xdr:col>
      <xdr:colOff>268044</xdr:colOff>
      <xdr:row>14</xdr:row>
      <xdr:rowOff>48112</xdr:rowOff>
    </xdr:from>
    <xdr:to>
      <xdr:col>1</xdr:col>
      <xdr:colOff>1129553</xdr:colOff>
      <xdr:row>16</xdr:row>
      <xdr:rowOff>17929</xdr:rowOff>
    </xdr:to>
    <xdr:sp macro="" textlink="">
      <xdr:nvSpPr>
        <xdr:cNvPr id="17" name="TextBox 16">
          <a:extLst>
            <a:ext uri="{FF2B5EF4-FFF2-40B4-BE49-F238E27FC236}">
              <a16:creationId xmlns:a16="http://schemas.microsoft.com/office/drawing/2014/main" id="{EBC455CB-0025-4298-880F-D42DA1C933A5}"/>
            </a:ext>
          </a:extLst>
        </xdr:cNvPr>
        <xdr:cNvSpPr txBox="1"/>
      </xdr:nvSpPr>
      <xdr:spPr>
        <a:xfrm>
          <a:off x="501126" y="2674771"/>
          <a:ext cx="861509" cy="328405"/>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Rating</a:t>
          </a:r>
          <a:endParaRPr lang="en-US" sz="1100" b="1"/>
        </a:p>
      </xdr:txBody>
    </xdr:sp>
    <xdr:clientData/>
  </xdr:twoCellAnchor>
  <xdr:twoCellAnchor>
    <xdr:from>
      <xdr:col>1</xdr:col>
      <xdr:colOff>321833</xdr:colOff>
      <xdr:row>10</xdr:row>
      <xdr:rowOff>33869</xdr:rowOff>
    </xdr:from>
    <xdr:to>
      <xdr:col>1</xdr:col>
      <xdr:colOff>1060973</xdr:colOff>
      <xdr:row>11</xdr:row>
      <xdr:rowOff>94829</xdr:rowOff>
    </xdr:to>
    <xdr:sp macro="" textlink="">
      <xdr:nvSpPr>
        <xdr:cNvPr id="18" name="TextBox 17">
          <a:extLst>
            <a:ext uri="{FF2B5EF4-FFF2-40B4-BE49-F238E27FC236}">
              <a16:creationId xmlns:a16="http://schemas.microsoft.com/office/drawing/2014/main" id="{2951EB10-B0B4-4306-9302-FE6FA0A14FC8}"/>
            </a:ext>
          </a:extLst>
        </xdr:cNvPr>
        <xdr:cNvSpPr txBox="1"/>
      </xdr:nvSpPr>
      <xdr:spPr>
        <a:xfrm>
          <a:off x="554915" y="1943351"/>
          <a:ext cx="739140" cy="240254"/>
        </a:xfrm>
        <a:prstGeom prst="rect">
          <a:avLst/>
        </a:prstGeom>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2700000" scaled="1"/>
          <a:tileRect/>
        </a:gra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mn-lt"/>
              <a:ea typeface="+mn-ea"/>
              <a:cs typeface="+mn-cs"/>
            </a:rPr>
            <a:t>Amount</a:t>
          </a:r>
        </a:p>
      </xdr:txBody>
    </xdr:sp>
    <xdr:clientData/>
  </xdr:twoCellAnchor>
  <xdr:twoCellAnchor>
    <xdr:from>
      <xdr:col>3</xdr:col>
      <xdr:colOff>148244</xdr:colOff>
      <xdr:row>2</xdr:row>
      <xdr:rowOff>35329</xdr:rowOff>
    </xdr:from>
    <xdr:to>
      <xdr:col>11</xdr:col>
      <xdr:colOff>26324</xdr:colOff>
      <xdr:row>16</xdr:row>
      <xdr:rowOff>12469</xdr:rowOff>
    </xdr:to>
    <xdr:graphicFrame macro="">
      <xdr:nvGraphicFramePr>
        <xdr:cNvPr id="28" name="Chart 27">
          <a:extLst>
            <a:ext uri="{FF2B5EF4-FFF2-40B4-BE49-F238E27FC236}">
              <a16:creationId xmlns:a16="http://schemas.microsoft.com/office/drawing/2014/main" id="{F0951640-3461-4AE4-996C-8560C9FD9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365760</xdr:colOff>
      <xdr:row>1</xdr:row>
      <xdr:rowOff>75385</xdr:rowOff>
    </xdr:from>
    <xdr:to>
      <xdr:col>22</xdr:col>
      <xdr:colOff>15240</xdr:colOff>
      <xdr:row>15</xdr:row>
      <xdr:rowOff>75385</xdr:rowOff>
    </xdr:to>
    <xdr:sp macro="" textlink="">
      <xdr:nvSpPr>
        <xdr:cNvPr id="33" name="Rectangle 32">
          <a:extLst>
            <a:ext uri="{FF2B5EF4-FFF2-40B4-BE49-F238E27FC236}">
              <a16:creationId xmlns:a16="http://schemas.microsoft.com/office/drawing/2014/main" id="{00C88C6F-7D3F-E4F1-2533-BDFC672B7F4B}"/>
            </a:ext>
          </a:extLst>
        </xdr:cNvPr>
        <xdr:cNvSpPr/>
      </xdr:nvSpPr>
      <xdr:spPr>
        <a:xfrm>
          <a:off x="6856207" y="254679"/>
          <a:ext cx="6355080" cy="262665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11</xdr:col>
          <xdr:colOff>565918</xdr:colOff>
          <xdr:row>4</xdr:row>
          <xdr:rowOff>83087</xdr:rowOff>
        </xdr:from>
        <xdr:to>
          <xdr:col>21</xdr:col>
          <xdr:colOff>336108</xdr:colOff>
          <xdr:row>13</xdr:row>
          <xdr:rowOff>128806</xdr:rowOff>
        </xdr:to>
        <xdr:pic>
          <xdr:nvPicPr>
            <xdr:cNvPr id="32" name="Picture 31">
              <a:extLst>
                <a:ext uri="{FF2B5EF4-FFF2-40B4-BE49-F238E27FC236}">
                  <a16:creationId xmlns:a16="http://schemas.microsoft.com/office/drawing/2014/main" id="{335B3E75-D0A5-361E-B4DA-AED887122C7F}"/>
                </a:ext>
              </a:extLst>
            </xdr:cNvPr>
            <xdr:cNvPicPr>
              <a:picLocks noChangeAspect="1" noChangeArrowheads="1"/>
              <a:extLst>
                <a:ext uri="{84589F7E-364E-4C9E-8A38-B11213B215E9}">
                  <a14:cameraTool cellRange="Sheet1!$H$11:$L$16" spid="_x0000_s1180"/>
                </a:ext>
              </a:extLst>
            </xdr:cNvPicPr>
          </xdr:nvPicPr>
          <xdr:blipFill>
            <a:blip xmlns:r="http://schemas.openxmlformats.org/officeDocument/2006/relationships" r:embed="rId5"/>
            <a:srcRect/>
            <a:stretch>
              <a:fillRect/>
            </a:stretch>
          </xdr:blipFill>
          <xdr:spPr bwMode="auto">
            <a:xfrm>
              <a:off x="7056365" y="800263"/>
              <a:ext cx="5866190" cy="17759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497379</xdr:colOff>
      <xdr:row>18</xdr:row>
      <xdr:rowOff>135775</xdr:rowOff>
    </xdr:from>
    <xdr:to>
      <xdr:col>21</xdr:col>
      <xdr:colOff>573579</xdr:colOff>
      <xdr:row>38</xdr:row>
      <xdr:rowOff>135775</xdr:rowOff>
    </xdr:to>
    <xdr:graphicFrame macro="">
      <xdr:nvGraphicFramePr>
        <xdr:cNvPr id="5" name="Chart 4">
          <a:extLst>
            <a:ext uri="{FF2B5EF4-FFF2-40B4-BE49-F238E27FC236}">
              <a16:creationId xmlns:a16="http://schemas.microsoft.com/office/drawing/2014/main" id="{1B29504D-4610-45FE-BBE8-0D94277FC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371994</xdr:colOff>
      <xdr:row>28</xdr:row>
      <xdr:rowOff>92132</xdr:rowOff>
    </xdr:from>
    <xdr:to>
      <xdr:col>18</xdr:col>
      <xdr:colOff>493914</xdr:colOff>
      <xdr:row>37</xdr:row>
      <xdr:rowOff>15932</xdr:rowOff>
    </xdr:to>
    <xdr:graphicFrame macro="">
      <xdr:nvGraphicFramePr>
        <xdr:cNvPr id="13" name="Chart 12">
          <a:extLst>
            <a:ext uri="{FF2B5EF4-FFF2-40B4-BE49-F238E27FC236}">
              <a16:creationId xmlns:a16="http://schemas.microsoft.com/office/drawing/2014/main" id="{492FCCFA-2BD4-46D3-B20A-4A850EBFA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594360</xdr:colOff>
      <xdr:row>0</xdr:row>
      <xdr:rowOff>99060</xdr:rowOff>
    </xdr:from>
    <xdr:to>
      <xdr:col>29</xdr:col>
      <xdr:colOff>297180</xdr:colOff>
      <xdr:row>16</xdr:row>
      <xdr:rowOff>60960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36785A3F-57AE-4637-8788-4123CF1EFD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386560" y="99060"/>
              <a:ext cx="2979420" cy="3002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274320</xdr:colOff>
      <xdr:row>5</xdr:row>
      <xdr:rowOff>22860</xdr:rowOff>
    </xdr:from>
    <xdr:to>
      <xdr:col>28</xdr:col>
      <xdr:colOff>495300</xdr:colOff>
      <xdr:row>9</xdr:row>
      <xdr:rowOff>137160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64335343-4AED-4B0C-8165-E6F4098D6E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6123920" y="937260"/>
              <a:ext cx="830580" cy="9601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415636</xdr:colOff>
      <xdr:row>17</xdr:row>
      <xdr:rowOff>27710</xdr:rowOff>
    </xdr:from>
    <xdr:to>
      <xdr:col>29</xdr:col>
      <xdr:colOff>581198</xdr:colOff>
      <xdr:row>27</xdr:row>
      <xdr:rowOff>104603</xdr:rowOff>
    </xdr:to>
    <xdr:graphicFrame macro="">
      <xdr:nvGraphicFramePr>
        <xdr:cNvPr id="22" name="Chart 21">
          <a:extLst>
            <a:ext uri="{FF2B5EF4-FFF2-40B4-BE49-F238E27FC236}">
              <a16:creationId xmlns:a16="http://schemas.microsoft.com/office/drawing/2014/main" id="{08A9AE4E-F830-4E0D-AA7B-5DB83D929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247426</xdr:colOff>
      <xdr:row>29</xdr:row>
      <xdr:rowOff>33170</xdr:rowOff>
    </xdr:from>
    <xdr:to>
      <xdr:col>30</xdr:col>
      <xdr:colOff>460786</xdr:colOff>
      <xdr:row>42</xdr:row>
      <xdr:rowOff>82700</xdr:rowOff>
    </xdr:to>
    <xdr:graphicFrame macro="">
      <xdr:nvGraphicFramePr>
        <xdr:cNvPr id="23" name="Chart 22">
          <a:extLst>
            <a:ext uri="{FF2B5EF4-FFF2-40B4-BE49-F238E27FC236}">
              <a16:creationId xmlns:a16="http://schemas.microsoft.com/office/drawing/2014/main" id="{6B264D0D-6CA1-4D7A-B2F0-2A36D17C7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41402</xdr:colOff>
      <xdr:row>22</xdr:row>
      <xdr:rowOff>107575</xdr:rowOff>
    </xdr:from>
    <xdr:to>
      <xdr:col>1</xdr:col>
      <xdr:colOff>1488142</xdr:colOff>
      <xdr:row>33</xdr:row>
      <xdr:rowOff>62753</xdr:rowOff>
    </xdr:to>
    <mc:AlternateContent xmlns:mc="http://schemas.openxmlformats.org/markup-compatibility/2006" xmlns:a14="http://schemas.microsoft.com/office/drawing/2010/main">
      <mc:Choice Requires="a14">
        <xdr:graphicFrame macro="">
          <xdr:nvGraphicFramePr>
            <xdr:cNvPr id="24" name="Order Mode 1">
              <a:extLst>
                <a:ext uri="{FF2B5EF4-FFF2-40B4-BE49-F238E27FC236}">
                  <a16:creationId xmlns:a16="http://schemas.microsoft.com/office/drawing/2014/main" id="{F7DCAC50-003C-47C8-87E2-427E5433DF38}"/>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276929" y="4180811"/>
              <a:ext cx="1446740" cy="1936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62751</xdr:colOff>
      <xdr:row>34</xdr:row>
      <xdr:rowOff>8968</xdr:rowOff>
    </xdr:from>
    <xdr:to>
      <xdr:col>1</xdr:col>
      <xdr:colOff>1506070</xdr:colOff>
      <xdr:row>43</xdr:row>
      <xdr:rowOff>17930</xdr:rowOff>
    </xdr:to>
    <mc:AlternateContent xmlns:mc="http://schemas.openxmlformats.org/markup-compatibility/2006" xmlns:a14="http://schemas.microsoft.com/office/drawing/2010/main">
      <mc:Choice Requires="a14">
        <xdr:graphicFrame macro="">
          <xdr:nvGraphicFramePr>
            <xdr:cNvPr id="25" name="Gender Value 1">
              <a:extLst>
                <a:ext uri="{FF2B5EF4-FFF2-40B4-BE49-F238E27FC236}">
                  <a16:creationId xmlns:a16="http://schemas.microsoft.com/office/drawing/2014/main" id="{F7ADAA3B-4A3E-4DBB-B4F1-8BAC75E57E78}"/>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mlns="">
        <xdr:sp macro="" textlink="">
          <xdr:nvSpPr>
            <xdr:cNvPr id="0" name=""/>
            <xdr:cNvSpPr>
              <a:spLocks noTextEdit="1"/>
            </xdr:cNvSpPr>
          </xdr:nvSpPr>
          <xdr:spPr>
            <a:xfrm>
              <a:off x="298278" y="6243513"/>
              <a:ext cx="1443319" cy="1629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80682</xdr:colOff>
      <xdr:row>2</xdr:row>
      <xdr:rowOff>26894</xdr:rowOff>
    </xdr:from>
    <xdr:to>
      <xdr:col>20</xdr:col>
      <xdr:colOff>304800</xdr:colOff>
      <xdr:row>3</xdr:row>
      <xdr:rowOff>170330</xdr:rowOff>
    </xdr:to>
    <xdr:sp macro="" textlink="">
      <xdr:nvSpPr>
        <xdr:cNvPr id="29" name="TextBox 28">
          <a:extLst>
            <a:ext uri="{FF2B5EF4-FFF2-40B4-BE49-F238E27FC236}">
              <a16:creationId xmlns:a16="http://schemas.microsoft.com/office/drawing/2014/main" id="{132E5F1F-1B71-FB19-4FF5-8095AD330871}"/>
            </a:ext>
          </a:extLst>
        </xdr:cNvPr>
        <xdr:cNvSpPr txBox="1"/>
      </xdr:nvSpPr>
      <xdr:spPr>
        <a:xfrm>
          <a:off x="7790329" y="385482"/>
          <a:ext cx="4491318" cy="3227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How</a:t>
          </a:r>
          <a:r>
            <a:rPr lang="en-US" sz="1400" baseline="0"/>
            <a:t> do customers like to buy?</a:t>
          </a:r>
          <a:endParaRPr lang="en-US" sz="1400"/>
        </a:p>
      </xdr:txBody>
    </xdr:sp>
    <xdr:clientData/>
  </xdr:twoCellAnchor>
  <xdr:twoCellAnchor>
    <xdr:from>
      <xdr:col>3</xdr:col>
      <xdr:colOff>84757</xdr:colOff>
      <xdr:row>21</xdr:row>
      <xdr:rowOff>15484</xdr:rowOff>
    </xdr:from>
    <xdr:to>
      <xdr:col>10</xdr:col>
      <xdr:colOff>604263</xdr:colOff>
      <xdr:row>36</xdr:row>
      <xdr:rowOff>15485</xdr:rowOff>
    </xdr:to>
    <xdr:graphicFrame macro="">
      <xdr:nvGraphicFramePr>
        <xdr:cNvPr id="30" name="Chart 29">
          <a:extLst>
            <a:ext uri="{FF2B5EF4-FFF2-40B4-BE49-F238E27FC236}">
              <a16:creationId xmlns:a16="http://schemas.microsoft.com/office/drawing/2014/main" id="{92969173-7D55-4476-8915-65421B5A5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41910</xdr:rowOff>
    </xdr:from>
    <xdr:to>
      <xdr:col>10</xdr:col>
      <xdr:colOff>388620</xdr:colOff>
      <xdr:row>21</xdr:row>
      <xdr:rowOff>41910</xdr:rowOff>
    </xdr:to>
    <xdr:graphicFrame macro="">
      <xdr:nvGraphicFramePr>
        <xdr:cNvPr id="3" name="Chart 2">
          <a:extLst>
            <a:ext uri="{FF2B5EF4-FFF2-40B4-BE49-F238E27FC236}">
              <a16:creationId xmlns:a16="http://schemas.microsoft.com/office/drawing/2014/main" id="{8079E02E-06A0-60D0-0437-C78A3CBB1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19050</xdr:rowOff>
    </xdr:from>
    <xdr:to>
      <xdr:col>9</xdr:col>
      <xdr:colOff>53340</xdr:colOff>
      <xdr:row>37</xdr:row>
      <xdr:rowOff>19050</xdr:rowOff>
    </xdr:to>
    <xdr:graphicFrame macro="">
      <xdr:nvGraphicFramePr>
        <xdr:cNvPr id="4" name="Chart 3">
          <a:extLst>
            <a:ext uri="{FF2B5EF4-FFF2-40B4-BE49-F238E27FC236}">
              <a16:creationId xmlns:a16="http://schemas.microsoft.com/office/drawing/2014/main" id="{C3366F24-AB6E-FF73-778A-74DA3D4F9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41</xdr:row>
      <xdr:rowOff>171450</xdr:rowOff>
    </xdr:from>
    <xdr:to>
      <xdr:col>13</xdr:col>
      <xdr:colOff>365760</xdr:colOff>
      <xdr:row>57</xdr:row>
      <xdr:rowOff>106680</xdr:rowOff>
    </xdr:to>
    <xdr:graphicFrame macro="">
      <xdr:nvGraphicFramePr>
        <xdr:cNvPr id="6" name="Chart 5">
          <a:extLst>
            <a:ext uri="{FF2B5EF4-FFF2-40B4-BE49-F238E27FC236}">
              <a16:creationId xmlns:a16="http://schemas.microsoft.com/office/drawing/2014/main" id="{5C934CA4-AB7C-8C49-4757-319D29722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60</xdr:row>
      <xdr:rowOff>179070</xdr:rowOff>
    </xdr:from>
    <xdr:to>
      <xdr:col>11</xdr:col>
      <xdr:colOff>525780</xdr:colOff>
      <xdr:row>75</xdr:row>
      <xdr:rowOff>22860</xdr:rowOff>
    </xdr:to>
    <xdr:graphicFrame macro="">
      <xdr:nvGraphicFramePr>
        <xdr:cNvPr id="2" name="Chart 1">
          <a:extLst>
            <a:ext uri="{FF2B5EF4-FFF2-40B4-BE49-F238E27FC236}">
              <a16:creationId xmlns:a16="http://schemas.microsoft.com/office/drawing/2014/main" id="{E3CB4A10-0EAF-0F42-E610-B64E135CE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220980</xdr:colOff>
      <xdr:row>75</xdr:row>
      <xdr:rowOff>102870</xdr:rowOff>
    </xdr:from>
    <xdr:to>
      <xdr:col>20</xdr:col>
      <xdr:colOff>251460</xdr:colOff>
      <xdr:row>90</xdr:row>
      <xdr:rowOff>102870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D49F7CFB-19C1-C519-8248-1BB4753375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767060" y="13818870"/>
              <a:ext cx="44272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83820</xdr:colOff>
      <xdr:row>92</xdr:row>
      <xdr:rowOff>99060</xdr:rowOff>
    </xdr:from>
    <xdr:to>
      <xdr:col>17</xdr:col>
      <xdr:colOff>601980</xdr:colOff>
      <xdr:row>102</xdr:row>
      <xdr:rowOff>19050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F830F97-081C-4817-3124-6E0527750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29900" y="16924020"/>
              <a:ext cx="3078480" cy="17487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350520</xdr:colOff>
      <xdr:row>137</xdr:row>
      <xdr:rowOff>110490</xdr:rowOff>
    </xdr:from>
    <xdr:to>
      <xdr:col>4</xdr:col>
      <xdr:colOff>106680</xdr:colOff>
      <xdr:row>152</xdr:row>
      <xdr:rowOff>110490</xdr:rowOff>
    </xdr:to>
    <xdr:graphicFrame macro="">
      <xdr:nvGraphicFramePr>
        <xdr:cNvPr id="8" name="Chart 7">
          <a:extLst>
            <a:ext uri="{FF2B5EF4-FFF2-40B4-BE49-F238E27FC236}">
              <a16:creationId xmlns:a16="http://schemas.microsoft.com/office/drawing/2014/main" id="{8890C967-887B-3979-FFDA-4A0FF756F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434340</xdr:colOff>
      <xdr:row>136</xdr:row>
      <xdr:rowOff>11430</xdr:rowOff>
    </xdr:from>
    <xdr:to>
      <xdr:col>22</xdr:col>
      <xdr:colOff>419100</xdr:colOff>
      <xdr:row>149</xdr:row>
      <xdr:rowOff>60960</xdr:rowOff>
    </xdr:to>
    <xdr:graphicFrame macro="">
      <xdr:nvGraphicFramePr>
        <xdr:cNvPr id="9" name="Chart 8">
          <a:extLst>
            <a:ext uri="{FF2B5EF4-FFF2-40B4-BE49-F238E27FC236}">
              <a16:creationId xmlns:a16="http://schemas.microsoft.com/office/drawing/2014/main" id="{3A856CB2-85DF-DB74-3316-EC5048001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594360</xdr:colOff>
      <xdr:row>143</xdr:row>
      <xdr:rowOff>144780</xdr:rowOff>
    </xdr:from>
    <xdr:to>
      <xdr:col>9</xdr:col>
      <xdr:colOff>960120</xdr:colOff>
      <xdr:row>157</xdr:row>
      <xdr:rowOff>165735</xdr:rowOff>
    </xdr:to>
    <mc:AlternateContent xmlns:mc="http://schemas.openxmlformats.org/markup-compatibility/2006" xmlns:a14="http://schemas.microsoft.com/office/drawing/2010/main">
      <mc:Choice Requires="a14">
        <xdr:graphicFrame macro="">
          <xdr:nvGraphicFramePr>
            <xdr:cNvPr id="11" name="Order Mode">
              <a:extLst>
                <a:ext uri="{FF2B5EF4-FFF2-40B4-BE49-F238E27FC236}">
                  <a16:creationId xmlns:a16="http://schemas.microsoft.com/office/drawing/2014/main" id="{9EE39710-EFD1-D907-366B-514199F702A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7719060" y="262966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xdr:colOff>
      <xdr:row>144</xdr:row>
      <xdr:rowOff>0</xdr:rowOff>
    </xdr:from>
    <xdr:to>
      <xdr:col>14</xdr:col>
      <xdr:colOff>693420</xdr:colOff>
      <xdr:row>158</xdr:row>
      <xdr:rowOff>20955</xdr:rowOff>
    </xdr:to>
    <mc:AlternateContent xmlns:mc="http://schemas.openxmlformats.org/markup-compatibility/2006" xmlns:a14="http://schemas.microsoft.com/office/drawing/2010/main">
      <mc:Choice Requires="a14">
        <xdr:graphicFrame macro="">
          <xdr:nvGraphicFramePr>
            <xdr:cNvPr id="12" name="Gender Value">
              <a:extLst>
                <a:ext uri="{FF2B5EF4-FFF2-40B4-BE49-F238E27FC236}">
                  <a16:creationId xmlns:a16="http://schemas.microsoft.com/office/drawing/2014/main" id="{A6C23434-86B7-8F32-E875-04566FD5AACA}"/>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9685020" y="26334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rdan McIntosh" refreshedDate="45978.76821574074" createdVersion="8" refreshedVersion="8" minRefreshableVersion="3" recordCount="2400" xr:uid="{62F60325-A842-4087-8963-7FE46C82D2DB}">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36331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6C813C-F8D6-49BB-9A5E-669C678FF2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9294B3-9C09-4F40-B1F2-7DC53482A7B3}" name="pvtTrends(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formats count="2">
    <format dxfId="6">
      <pivotArea collapsedLevelsAreSubtotals="1" fieldPosition="0">
        <references count="2">
          <reference field="4294967294" count="1" selected="0">
            <x v="1"/>
          </reference>
          <reference field="13" count="0"/>
        </references>
      </pivotArea>
    </format>
    <format dxfId="5">
      <pivotArea outline="0" fieldPosition="0">
        <references count="1">
          <reference field="4294967294" count="1">
            <x v="1"/>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F4CEB-8578-471E-852E-5412A430BEAB}" name="pvtShipment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38:G15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E2149-EB01-43BC-BEE3-B272B419891E}"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A68:B73"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22">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2">
          <reference field="4294967294" count="1" selected="0">
            <x v="0"/>
          </reference>
          <reference field="14" count="1" selected="0">
            <x v="1"/>
          </reference>
        </references>
      </pivotArea>
    </chartFormat>
    <chartFormat chart="46" format="6" series="1">
      <pivotArea type="data" outline="0" fieldPosition="0">
        <references count="2">
          <reference field="4294967294" count="1" selected="0">
            <x v="0"/>
          </reference>
          <reference field="14" count="1" selected="0">
            <x v="2"/>
          </reference>
        </references>
      </pivotArea>
    </chartFormat>
    <chartFormat chart="46" format="7" series="1">
      <pivotArea type="data" outline="0" fieldPosition="0">
        <references count="2">
          <reference field="4294967294" count="1" selected="0">
            <x v="0"/>
          </reference>
          <reference field="14" count="1" selected="0">
            <x v="3"/>
          </reference>
        </references>
      </pivotArea>
    </chartFormat>
    <chartFormat chart="48" format="0" series="1">
      <pivotArea type="data" outline="0" fieldPosition="0">
        <references count="2">
          <reference field="4294967294" count="1" selected="0">
            <x v="0"/>
          </reference>
          <reference field="14" count="1" selected="0">
            <x v="0"/>
          </reference>
        </references>
      </pivotArea>
    </chartFormat>
    <chartFormat chart="48" format="1" series="1">
      <pivotArea type="data" outline="0" fieldPosition="0">
        <references count="2">
          <reference field="4294967294" count="1" selected="0">
            <x v="0"/>
          </reference>
          <reference field="14" count="1" selected="0">
            <x v="1"/>
          </reference>
        </references>
      </pivotArea>
    </chartFormat>
    <chartFormat chart="48" format="2" series="1">
      <pivotArea type="data" outline="0" fieldPosition="0">
        <references count="2">
          <reference field="4294967294" count="1" selected="0">
            <x v="0"/>
          </reference>
          <reference field="14" count="1" selected="0">
            <x v="2"/>
          </reference>
        </references>
      </pivotArea>
    </chartFormat>
    <chartFormat chart="48" format="3" series="1">
      <pivotArea type="data" outline="0" fieldPosition="0">
        <references count="2">
          <reference field="4294967294" count="1" selected="0">
            <x v="0"/>
          </reference>
          <reference field="14" count="1" selected="0">
            <x v="3"/>
          </reference>
        </references>
      </pivotArea>
    </chartFormat>
    <chartFormat chart="52" format="8" series="1">
      <pivotArea type="data" outline="0" fieldPosition="0">
        <references count="2">
          <reference field="4294967294" count="1" selected="0">
            <x v="0"/>
          </reference>
          <reference field="14" count="1" selected="0">
            <x v="0"/>
          </reference>
        </references>
      </pivotArea>
    </chartFormat>
    <chartFormat chart="52" format="9" series="1">
      <pivotArea type="data" outline="0" fieldPosition="0">
        <references count="2">
          <reference field="4294967294" count="1" selected="0">
            <x v="0"/>
          </reference>
          <reference field="14" count="1" selected="0">
            <x v="1"/>
          </reference>
        </references>
      </pivotArea>
    </chartFormat>
    <chartFormat chart="52" format="10" series="1">
      <pivotArea type="data" outline="0" fieldPosition="0">
        <references count="2">
          <reference field="4294967294" count="1" selected="0">
            <x v="0"/>
          </reference>
          <reference field="14" count="1" selected="0">
            <x v="2"/>
          </reference>
        </references>
      </pivotArea>
    </chartFormat>
    <chartFormat chart="52" format="11" series="1">
      <pivotArea type="data" outline="0" fieldPosition="0">
        <references count="2">
          <reference field="4294967294" count="1" selected="0">
            <x v="0"/>
          </reference>
          <reference field="14" count="1" selected="0">
            <x v="3"/>
          </reference>
        </references>
      </pivotArea>
    </chartFormat>
    <chartFormat chart="62" format="0" series="1">
      <pivotArea type="data" outline="0" fieldPosition="0">
        <references count="1">
          <reference field="4294967294" count="1" selected="0">
            <x v="0"/>
          </reference>
        </references>
      </pivotArea>
    </chartFormat>
    <chartFormat chart="62" format="1">
      <pivotArea type="data" outline="0" fieldPosition="0">
        <references count="2">
          <reference field="4294967294" count="1" selected="0">
            <x v="0"/>
          </reference>
          <reference field="14" count="1" selected="0">
            <x v="3"/>
          </reference>
        </references>
      </pivotArea>
    </chartFormat>
    <chartFormat chart="62" format="2">
      <pivotArea type="data" outline="0" fieldPosition="0">
        <references count="2">
          <reference field="4294967294" count="1" selected="0">
            <x v="0"/>
          </reference>
          <reference field="14" count="1" selected="0">
            <x v="1"/>
          </reference>
        </references>
      </pivotArea>
    </chartFormat>
    <chartFormat chart="62" format="3">
      <pivotArea type="data" outline="0" fieldPosition="0">
        <references count="2">
          <reference field="4294967294" count="1" selected="0">
            <x v="0"/>
          </reference>
          <reference field="14" count="1" selected="0">
            <x v="0"/>
          </reference>
        </references>
      </pivotArea>
    </chartFormat>
    <chartFormat chart="62" format="4">
      <pivotArea type="data" outline="0" fieldPosition="0">
        <references count="2">
          <reference field="4294967294" count="1" selected="0">
            <x v="0"/>
          </reference>
          <reference field="14" count="1" selected="0">
            <x v="2"/>
          </reference>
        </references>
      </pivotArea>
    </chartFormat>
    <chartFormat chart="71" format="10" series="1">
      <pivotArea type="data" outline="0" fieldPosition="0">
        <references count="1">
          <reference field="4294967294" count="1" selected="0">
            <x v="0"/>
          </reference>
        </references>
      </pivotArea>
    </chartFormat>
    <chartFormat chart="71" format="11">
      <pivotArea type="data" outline="0" fieldPosition="0">
        <references count="2">
          <reference field="4294967294" count="1" selected="0">
            <x v="0"/>
          </reference>
          <reference field="14" count="1" selected="0">
            <x v="0"/>
          </reference>
        </references>
      </pivotArea>
    </chartFormat>
    <chartFormat chart="71" format="12">
      <pivotArea type="data" outline="0" fieldPosition="0">
        <references count="2">
          <reference field="4294967294" count="1" selected="0">
            <x v="0"/>
          </reference>
          <reference field="14" count="1" selected="0">
            <x v="1"/>
          </reference>
        </references>
      </pivotArea>
    </chartFormat>
    <chartFormat chart="71" format="13">
      <pivotArea type="data" outline="0" fieldPosition="0">
        <references count="2">
          <reference field="4294967294" count="1" selected="0">
            <x v="0"/>
          </reference>
          <reference field="14" count="1" selected="0">
            <x v="2"/>
          </reference>
        </references>
      </pivotArea>
    </chartFormat>
    <chartFormat chart="71"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C911BA-EF73-466E-A895-D5D7295ACF4E}"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7:D135"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E4EBE-06F3-460E-B7CB-AB8128FAAA37}"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23BC7A-6C3E-4835-A994-638D12CB2A95}" name="pvt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38:O14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6" format="0" series="1">
      <pivotArea type="data" outline="0" fieldPosition="0">
        <references count="2">
          <reference field="4294967294" count="1" selected="0">
            <x v="0"/>
          </reference>
          <reference field="17" count="1" selected="0">
            <x v="1"/>
          </reference>
        </references>
      </pivotArea>
    </chartFormat>
    <chartFormat chart="6" format="1" series="1">
      <pivotArea type="data" outline="0" fieldPosition="0">
        <references count="2">
          <reference field="4294967294" count="1" selected="0">
            <x v="0"/>
          </reference>
          <reference field="17" count="1" selected="0">
            <x v="2"/>
          </reference>
        </references>
      </pivotArea>
    </chartFormat>
    <chartFormat chart="6" format="2" series="1">
      <pivotArea type="data" outline="0" fieldPosition="0">
        <references count="2">
          <reference field="4294967294" count="1" selected="0">
            <x v="0"/>
          </reference>
          <reference field="17" count="1" selected="0">
            <x v="3"/>
          </reference>
        </references>
      </pivotArea>
    </chartFormat>
    <chartFormat chart="6" format="3" series="1">
      <pivotArea type="data" outline="0" fieldPosition="0">
        <references count="2">
          <reference field="4294967294" count="1" selected="0">
            <x v="0"/>
          </reference>
          <reference field="9" count="1" selected="0">
            <x v="3"/>
          </reference>
        </references>
      </pivotArea>
    </chartFormat>
    <chartFormat chart="6" format="4" series="1">
      <pivotArea type="data" outline="0" fieldPosition="0">
        <references count="2">
          <reference field="4294967294" count="1" selected="0">
            <x v="0"/>
          </reference>
          <reference field="9" count="1" selected="0">
            <x v="4"/>
          </reference>
        </references>
      </pivotArea>
    </chartFormat>
    <chartFormat chart="6" format="5" series="1">
      <pivotArea type="data" outline="0" fieldPosition="0">
        <references count="2">
          <reference field="4294967294" count="1" selected="0">
            <x v="0"/>
          </reference>
          <reference field="9" count="1" selected="0">
            <x v="0"/>
          </reference>
        </references>
      </pivotArea>
    </chartFormat>
    <chartFormat chart="6" format="6" series="1">
      <pivotArea type="data" outline="0" fieldPosition="0">
        <references count="2">
          <reference field="4294967294" count="1" selected="0">
            <x v="0"/>
          </reference>
          <reference field="9" count="1" selected="0">
            <x v="1"/>
          </reference>
        </references>
      </pivotArea>
    </chartFormat>
    <chartFormat chart="6" format="7" series="1">
      <pivotArea type="data" outline="0" fieldPosition="0">
        <references count="2">
          <reference field="4294967294" count="1" selected="0">
            <x v="0"/>
          </reference>
          <reference field="9" count="1" selected="0">
            <x v="2"/>
          </reference>
        </references>
      </pivotArea>
    </chartFormat>
    <chartFormat chart="10" format="13" series="1">
      <pivotArea type="data" outline="0" fieldPosition="0">
        <references count="2">
          <reference field="4294967294" count="1" selected="0">
            <x v="0"/>
          </reference>
          <reference field="9" count="1" selected="0">
            <x v="0"/>
          </reference>
        </references>
      </pivotArea>
    </chartFormat>
    <chartFormat chart="10" format="14" series="1">
      <pivotArea type="data" outline="0" fieldPosition="0">
        <references count="2">
          <reference field="4294967294" count="1" selected="0">
            <x v="0"/>
          </reference>
          <reference field="9" count="1" selected="0">
            <x v="1"/>
          </reference>
        </references>
      </pivotArea>
    </chartFormat>
    <chartFormat chart="10" format="15" series="1">
      <pivotArea type="data" outline="0" fieldPosition="0">
        <references count="2">
          <reference field="4294967294" count="1" selected="0">
            <x v="0"/>
          </reference>
          <reference field="9" count="1" selected="0">
            <x v="2"/>
          </reference>
        </references>
      </pivotArea>
    </chartFormat>
    <chartFormat chart="10" format="16"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4B7A6F-7FF0-4EB1-AB79-ED52522DC0A0}" name="pv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43:F65"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2">
    <chartFormat chart="46" format="4" series="1">
      <pivotArea type="data" outline="0" fieldPosition="0">
        <references count="1">
          <reference field="4294967294" count="1" selected="0">
            <x v="0"/>
          </reference>
        </references>
      </pivotArea>
    </chartFormat>
    <chartFormat chart="46" format="5" series="1">
      <pivotArea type="data" outline="0" fieldPosition="0">
        <references count="2">
          <reference field="4294967294" count="1" selected="0">
            <x v="0"/>
          </reference>
          <reference field="14" count="1" selected="0">
            <x v="1"/>
          </reference>
        </references>
      </pivotArea>
    </chartFormat>
    <chartFormat chart="46" format="6" series="1">
      <pivotArea type="data" outline="0" fieldPosition="0">
        <references count="2">
          <reference field="4294967294" count="1" selected="0">
            <x v="0"/>
          </reference>
          <reference field="14" count="1" selected="0">
            <x v="2"/>
          </reference>
        </references>
      </pivotArea>
    </chartFormat>
    <chartFormat chart="46" format="7" series="1">
      <pivotArea type="data" outline="0" fieldPosition="0">
        <references count="2">
          <reference field="4294967294" count="1" selected="0">
            <x v="0"/>
          </reference>
          <reference field="14" count="1" selected="0">
            <x v="3"/>
          </reference>
        </references>
      </pivotArea>
    </chartFormat>
    <chartFormat chart="48" format="0" series="1">
      <pivotArea type="data" outline="0" fieldPosition="0">
        <references count="2">
          <reference field="4294967294" count="1" selected="0">
            <x v="0"/>
          </reference>
          <reference field="14" count="1" selected="0">
            <x v="0"/>
          </reference>
        </references>
      </pivotArea>
    </chartFormat>
    <chartFormat chart="48" format="1" series="1">
      <pivotArea type="data" outline="0" fieldPosition="0">
        <references count="2">
          <reference field="4294967294" count="1" selected="0">
            <x v="0"/>
          </reference>
          <reference field="14" count="1" selected="0">
            <x v="1"/>
          </reference>
        </references>
      </pivotArea>
    </chartFormat>
    <chartFormat chart="48" format="2" series="1">
      <pivotArea type="data" outline="0" fieldPosition="0">
        <references count="2">
          <reference field="4294967294" count="1" selected="0">
            <x v="0"/>
          </reference>
          <reference field="14" count="1" selected="0">
            <x v="2"/>
          </reference>
        </references>
      </pivotArea>
    </chartFormat>
    <chartFormat chart="48" format="3" series="1">
      <pivotArea type="data" outline="0" fieldPosition="0">
        <references count="2">
          <reference field="4294967294" count="1" selected="0">
            <x v="0"/>
          </reference>
          <reference field="14" count="1" selected="0">
            <x v="3"/>
          </reference>
        </references>
      </pivotArea>
    </chartFormat>
    <chartFormat chart="52" format="8" series="1">
      <pivotArea type="data" outline="0" fieldPosition="0">
        <references count="2">
          <reference field="4294967294" count="1" selected="0">
            <x v="0"/>
          </reference>
          <reference field="14" count="1" selected="0">
            <x v="0"/>
          </reference>
        </references>
      </pivotArea>
    </chartFormat>
    <chartFormat chart="52" format="9" series="1">
      <pivotArea type="data" outline="0" fieldPosition="0">
        <references count="2">
          <reference field="4294967294" count="1" selected="0">
            <x v="0"/>
          </reference>
          <reference field="14" count="1" selected="0">
            <x v="1"/>
          </reference>
        </references>
      </pivotArea>
    </chartFormat>
    <chartFormat chart="52" format="10" series="1">
      <pivotArea type="data" outline="0" fieldPosition="0">
        <references count="2">
          <reference field="4294967294" count="1" selected="0">
            <x v="0"/>
          </reference>
          <reference field="14" count="1" selected="0">
            <x v="2"/>
          </reference>
        </references>
      </pivotArea>
    </chartFormat>
    <chartFormat chart="5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A538C8-6023-4BB4-A74F-35C907B39E6E}" name="pvt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26:B3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31"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ADA1F5-3382-45FB-873D-DF564A10FBCA}" name="pvtCustomerpr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4:T31"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44AA2C5-A21A-48CE-A100-23774C7AD3B2}" sourceName="Order Mode">
  <pivotTables>
    <pivotTable tabId="6" name="pvtCustomerS"/>
    <pivotTable tabId="6" name="pvtDistribution"/>
    <pivotTable tabId="6" name="pvtGender"/>
    <pivotTable tabId="6" name="pvtMap"/>
    <pivotTable tabId="6" name="pvtProducts"/>
    <pivotTable tabId="6" name="pvtShipmentD"/>
    <pivotTable tabId="6" name="pvtSummary"/>
    <pivotTable tabId="6" name="pvtTrends(week)"/>
  </pivotTables>
  <data>
    <tabular pivotCacheId="13633146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A27B474-879B-4706-9E2C-16AFE646CA42}" sourceName="Gender Value">
  <pivotTables>
    <pivotTable tabId="6" name="pvtDistribution"/>
    <pivotTable tabId="6" name="pvtMap"/>
    <pivotTable tabId="6" name="pvtProducts"/>
    <pivotTable tabId="6" name="pvtShipmentD"/>
    <pivotTable tabId="6" name="pvtTrends(week)"/>
  </pivotTables>
  <data>
    <tabular pivotCacheId="13633146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19B429A8-0C81-478A-B5A3-5989A70E0412}" cache="Slicer_Order_Mode" caption="Order Mode" rowHeight="247650"/>
  <slicer name="Gender Value 1" xr10:uid="{C77065C1-E38D-4F77-B21D-F7FAA57EEBD1}" cache="Slicer_Gender_Value" caption="Gender Val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E5A991A-1268-46D6-B713-CE0B4C4E1CD3}" cache="Slicer_Order_Mode" caption="Order Mode" rowHeight="247650"/>
  <slicer name="Gender Value" xr10:uid="{0C6EB9A5-9A5D-4B7B-BB5D-9966E37E3BF4}"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EB677-4E90-4134-A089-E0710F7984CF}">
  <dimension ref="A2:M16"/>
  <sheetViews>
    <sheetView showGridLines="0" workbookViewId="0">
      <selection activeCell="H11" sqref="H11:L16"/>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9" max="10" width="12" bestFit="1" customWidth="1"/>
  </cols>
  <sheetData>
    <row r="2" spans="1:13" x14ac:dyDescent="0.3">
      <c r="A2" t="s">
        <v>2538</v>
      </c>
      <c r="H2" t="s">
        <v>2527</v>
      </c>
    </row>
    <row r="3" spans="1:13" x14ac:dyDescent="0.3">
      <c r="A3" s="5" t="s">
        <v>2526</v>
      </c>
      <c r="B3" s="5" t="s">
        <v>2521</v>
      </c>
    </row>
    <row r="4" spans="1:13" x14ac:dyDescent="0.3">
      <c r="A4" s="5" t="s">
        <v>2519</v>
      </c>
      <c r="B4" t="s">
        <v>2522</v>
      </c>
      <c r="C4" t="s">
        <v>2523</v>
      </c>
      <c r="D4" t="s">
        <v>2524</v>
      </c>
      <c r="E4" t="s">
        <v>2525</v>
      </c>
      <c r="F4" t="s">
        <v>2520</v>
      </c>
      <c r="I4" t="str">
        <f>B4</f>
        <v>Female</v>
      </c>
      <c r="J4" t="str">
        <f t="shared" ref="J4:K9" si="0">C4</f>
        <v>Male</v>
      </c>
      <c r="K4" t="str">
        <f t="shared" si="0"/>
        <v>Other</v>
      </c>
    </row>
    <row r="5" spans="1:13" x14ac:dyDescent="0.3">
      <c r="A5" s="6" t="s">
        <v>18</v>
      </c>
      <c r="B5" s="7">
        <v>0.18961825201634841</v>
      </c>
      <c r="C5" s="7">
        <v>0.12262322351336576</v>
      </c>
      <c r="D5" s="7">
        <v>1.060537752469185E-2</v>
      </c>
      <c r="E5" s="7">
        <v>3.0599220547662797E-2</v>
      </c>
      <c r="F5" s="7">
        <v>0.35344607360206881</v>
      </c>
      <c r="H5" t="str">
        <f>A5</f>
        <v>App</v>
      </c>
      <c r="I5" s="8">
        <f t="shared" ref="I5:I9" si="1">B5</f>
        <v>0.18961825201634841</v>
      </c>
      <c r="J5" s="8">
        <f t="shared" si="0"/>
        <v>0.12262322351336576</v>
      </c>
      <c r="K5" s="8">
        <f t="shared" si="0"/>
        <v>1.060537752469185E-2</v>
      </c>
    </row>
    <row r="6" spans="1:13" x14ac:dyDescent="0.3">
      <c r="A6" s="6" t="s">
        <v>51</v>
      </c>
      <c r="B6" s="7">
        <v>5.0283982091147303E-2</v>
      </c>
      <c r="C6" s="7">
        <v>4.3060781812819873E-2</v>
      </c>
      <c r="D6" s="7">
        <v>1.5320025675641944E-3</v>
      </c>
      <c r="E6" s="7">
        <v>1.7794988689097006E-2</v>
      </c>
      <c r="F6" s="7">
        <v>0.11267175516062837</v>
      </c>
      <c r="H6" t="str">
        <f>A6</f>
        <v>Instagram</v>
      </c>
      <c r="I6" s="8">
        <f t="shared" si="1"/>
        <v>5.0283982091147303E-2</v>
      </c>
      <c r="J6" s="8">
        <f t="shared" si="0"/>
        <v>4.3060781812819873E-2</v>
      </c>
      <c r="K6" s="8">
        <f t="shared" si="0"/>
        <v>1.5320025675641944E-3</v>
      </c>
    </row>
    <row r="7" spans="1:13" x14ac:dyDescent="0.3">
      <c r="A7" s="6" t="s">
        <v>70</v>
      </c>
      <c r="B7" s="7">
        <v>6.3496059750411282E-2</v>
      </c>
      <c r="C7" s="7">
        <v>4.6071629863988765E-2</v>
      </c>
      <c r="D7" s="7">
        <v>2.306247051322625E-3</v>
      </c>
      <c r="E7" s="7">
        <v>3.8927934093844286E-3</v>
      </c>
      <c r="F7" s="7">
        <v>0.11576673007510711</v>
      </c>
      <c r="H7" t="str">
        <f>A7</f>
        <v>Partner App</v>
      </c>
      <c r="I7" s="8">
        <f t="shared" si="1"/>
        <v>6.3496059750411282E-2</v>
      </c>
      <c r="J7" s="8">
        <f t="shared" si="0"/>
        <v>4.6071629863988765E-2</v>
      </c>
      <c r="K7" s="8">
        <f t="shared" si="0"/>
        <v>2.306247051322625E-3</v>
      </c>
    </row>
    <row r="8" spans="1:13" x14ac:dyDescent="0.3">
      <c r="A8" s="6" t="s">
        <v>40</v>
      </c>
      <c r="B8" s="7">
        <v>9.6337892927149532E-2</v>
      </c>
      <c r="C8" s="7">
        <v>6.7920115842382611E-2</v>
      </c>
      <c r="D8" s="7">
        <v>5.4979832664581261E-3</v>
      </c>
      <c r="E8" s="7">
        <v>1.2933041488102518E-2</v>
      </c>
      <c r="F8" s="7">
        <v>0.1826890335240928</v>
      </c>
      <c r="H8" t="str">
        <f>A8</f>
        <v>Target.com</v>
      </c>
      <c r="I8" s="8">
        <f t="shared" si="1"/>
        <v>9.6337892927149532E-2</v>
      </c>
      <c r="J8" s="8">
        <f t="shared" si="0"/>
        <v>6.7920115842382611E-2</v>
      </c>
      <c r="K8" s="8">
        <f t="shared" si="0"/>
        <v>5.4979832664581261E-3</v>
      </c>
    </row>
    <row r="9" spans="1:13" x14ac:dyDescent="0.3">
      <c r="A9" s="6" t="s">
        <v>35</v>
      </c>
      <c r="B9" s="7">
        <v>0.12522098709469262</v>
      </c>
      <c r="C9" s="7">
        <v>9.1492740283116228E-2</v>
      </c>
      <c r="D9" s="7">
        <v>6.3042760790965081E-3</v>
      </c>
      <c r="E9" s="7">
        <v>1.2408404181197551E-2</v>
      </c>
      <c r="F9" s="7">
        <v>0.23542640763810288</v>
      </c>
      <c r="H9" t="str">
        <f>A9</f>
        <v>Website</v>
      </c>
      <c r="I9" s="8">
        <f t="shared" si="1"/>
        <v>0.12522098709469262</v>
      </c>
      <c r="J9" s="8">
        <f t="shared" si="0"/>
        <v>9.1492740283116228E-2</v>
      </c>
      <c r="K9" s="8">
        <f t="shared" si="0"/>
        <v>6.3042760790965081E-3</v>
      </c>
    </row>
    <row r="10" spans="1:13" x14ac:dyDescent="0.3">
      <c r="A10" s="6" t="s">
        <v>2520</v>
      </c>
      <c r="B10" s="7">
        <v>0.52495717387974916</v>
      </c>
      <c r="C10" s="7">
        <v>0.3711684913156732</v>
      </c>
      <c r="D10" s="7">
        <v>2.6245886489133303E-2</v>
      </c>
      <c r="E10" s="7">
        <v>7.7628448315444312E-2</v>
      </c>
      <c r="F10" s="7">
        <v>1</v>
      </c>
    </row>
    <row r="11" spans="1:13" x14ac:dyDescent="0.3">
      <c r="I11" s="8" t="s">
        <v>2539</v>
      </c>
      <c r="J11" s="8" t="s">
        <v>2540</v>
      </c>
      <c r="K11" s="8" t="s">
        <v>2541</v>
      </c>
      <c r="L11" s="8" t="s">
        <v>2542</v>
      </c>
    </row>
    <row r="12" spans="1:13" x14ac:dyDescent="0.3">
      <c r="H12" s="6" t="s">
        <v>18</v>
      </c>
      <c r="I12" s="7">
        <v>0.18961825201634841</v>
      </c>
      <c r="J12" s="7">
        <v>0.12262322351336576</v>
      </c>
      <c r="K12" s="7">
        <v>1.060537752469185E-2</v>
      </c>
      <c r="L12" s="7">
        <v>3.0599220547662797E-2</v>
      </c>
      <c r="M12" s="7"/>
    </row>
    <row r="13" spans="1:13" x14ac:dyDescent="0.3">
      <c r="H13" s="6" t="s">
        <v>51</v>
      </c>
      <c r="I13" s="7">
        <v>5.0283982091147303E-2</v>
      </c>
      <c r="J13" s="7">
        <v>4.3060781812819873E-2</v>
      </c>
      <c r="K13" s="7">
        <v>1.5320025675641944E-3</v>
      </c>
      <c r="L13" s="7">
        <v>1.7794988689097006E-2</v>
      </c>
      <c r="M13" s="7"/>
    </row>
    <row r="14" spans="1:13" x14ac:dyDescent="0.3">
      <c r="H14" s="6" t="s">
        <v>70</v>
      </c>
      <c r="I14" s="7">
        <v>6.3496059750411282E-2</v>
      </c>
      <c r="J14" s="7">
        <v>4.6071629863988765E-2</v>
      </c>
      <c r="K14" s="7">
        <v>2.306247051322625E-3</v>
      </c>
      <c r="L14" s="7">
        <v>3.8927934093844286E-3</v>
      </c>
      <c r="M14" s="7"/>
    </row>
    <row r="15" spans="1:13" x14ac:dyDescent="0.3">
      <c r="H15" s="6" t="s">
        <v>40</v>
      </c>
      <c r="I15" s="7">
        <v>9.6337892927149532E-2</v>
      </c>
      <c r="J15" s="7">
        <v>6.7920115842382611E-2</v>
      </c>
      <c r="K15" s="7">
        <v>5.4979832664581261E-3</v>
      </c>
      <c r="L15" s="7">
        <v>1.2933041488102518E-2</v>
      </c>
      <c r="M15" s="7"/>
    </row>
    <row r="16" spans="1:13" x14ac:dyDescent="0.3">
      <c r="H16" s="6" t="s">
        <v>35</v>
      </c>
      <c r="I16" s="7">
        <v>0.12522098709469262</v>
      </c>
      <c r="J16" s="7">
        <v>9.1492740283116228E-2</v>
      </c>
      <c r="K16" s="7">
        <v>6.3042760790965081E-3</v>
      </c>
      <c r="L16" s="7">
        <v>1.2408404181197551E-2</v>
      </c>
      <c r="M16" s="7"/>
    </row>
  </sheetData>
  <conditionalFormatting sqref="H4:K9 I11:L11">
    <cfRule type="colorScale" priority="2">
      <colorScale>
        <cfvo type="min"/>
        <cfvo type="percentile" val="50"/>
        <cfvo type="max"/>
        <color rgb="FFF8696B"/>
        <color rgb="FFFCFCFF"/>
        <color rgb="FF5A8AC6"/>
      </colorScale>
    </cfRule>
  </conditionalFormatting>
  <conditionalFormatting sqref="I12:L16">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E6"/>
  <sheetViews>
    <sheetView tabSelected="1" zoomScale="85" zoomScaleNormal="85" workbookViewId="0">
      <selection activeCell="AJ17" sqref="AJ17"/>
    </sheetView>
  </sheetViews>
  <sheetFormatPr defaultRowHeight="14.4" x14ac:dyDescent="0.3"/>
  <cols>
    <col min="1" max="1" width="3.33203125" customWidth="1"/>
    <col min="2" max="2" width="22.21875" customWidth="1"/>
    <col min="3" max="4" width="3.33203125" customWidth="1"/>
    <col min="26" max="26" width="3.33203125" customWidth="1"/>
  </cols>
  <sheetData>
    <row r="6" spans="31:31" ht="23.4" x14ac:dyDescent="0.45">
      <c r="AE6" s="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R10" sqref="R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BD43-DAA6-43D4-AD05-01233EC6FF92}">
  <dimension ref="A2:T154"/>
  <sheetViews>
    <sheetView topLeftCell="A136" workbookViewId="0">
      <selection activeCell="D154" sqref="D154"/>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6" max="6" width="12.44140625" bestFit="1" customWidth="1"/>
    <col min="7" max="7" width="12.21875" bestFit="1" customWidth="1"/>
    <col min="9" max="9" width="12.44140625" bestFit="1" customWidth="1"/>
    <col min="10" max="10" width="15.5546875" bestFit="1" customWidth="1"/>
    <col min="11" max="12" width="4" bestFit="1" customWidth="1"/>
    <col min="13" max="13" width="5" bestFit="1" customWidth="1"/>
    <col min="14" max="14" width="4" bestFit="1" customWidth="1"/>
    <col min="15" max="15" width="10.5546875" bestFit="1" customWidth="1"/>
    <col min="16" max="16" width="15.5546875" bestFit="1" customWidth="1"/>
    <col min="17" max="18" width="8" bestFit="1" customWidth="1"/>
    <col min="19" max="40" width="9" bestFit="1" customWidth="1"/>
    <col min="41" max="49" width="8.44140625" bestFit="1" customWidth="1"/>
    <col min="50" max="68" width="9.44140625" bestFit="1" customWidth="1"/>
    <col min="69" max="77" width="8.44140625" bestFit="1" customWidth="1"/>
    <col min="78" max="97" width="9.44140625" bestFit="1" customWidth="1"/>
    <col min="98" max="98" width="10.5546875" bestFit="1" customWidth="1"/>
  </cols>
  <sheetData>
    <row r="2" spans="1:11" x14ac:dyDescent="0.3">
      <c r="G2" t="s">
        <v>2532</v>
      </c>
    </row>
    <row r="3" spans="1:11" x14ac:dyDescent="0.3">
      <c r="A3" t="s">
        <v>2528</v>
      </c>
      <c r="B3" t="s">
        <v>2529</v>
      </c>
      <c r="C3" t="s">
        <v>2526</v>
      </c>
      <c r="D3" t="s">
        <v>2530</v>
      </c>
      <c r="E3" t="s">
        <v>2531</v>
      </c>
      <c r="G3" t="s">
        <v>2518</v>
      </c>
      <c r="H3" t="s">
        <v>2533</v>
      </c>
      <c r="I3" t="s">
        <v>2534</v>
      </c>
      <c r="J3" t="s">
        <v>2535</v>
      </c>
      <c r="K3" t="s">
        <v>2536</v>
      </c>
    </row>
    <row r="4" spans="1:11" x14ac:dyDescent="0.3">
      <c r="A4">
        <v>2400</v>
      </c>
      <c r="B4">
        <v>11997</v>
      </c>
      <c r="C4">
        <v>649019.80000000144</v>
      </c>
      <c r="D4">
        <v>3.9620833333333332</v>
      </c>
      <c r="E4">
        <v>2.3424999999999998</v>
      </c>
      <c r="G4" t="str">
        <f>TEXT(A4,"#,##")</f>
        <v>2,400</v>
      </c>
      <c r="H4" t="str">
        <f>TEXT(B4,"#,##")</f>
        <v>11,997</v>
      </c>
      <c r="I4" t="str">
        <f>TEXT(C4,"$#,##,.0k")</f>
        <v>$649.0k</v>
      </c>
      <c r="J4" t="str">
        <f>TEXT(D4, "0.0")</f>
        <v>4.0</v>
      </c>
      <c r="K4" t="str">
        <f>TEXT(E4, "0.0")</f>
        <v>2.3</v>
      </c>
    </row>
    <row r="7" spans="1:11" x14ac:dyDescent="0.3">
      <c r="A7" t="s">
        <v>2556</v>
      </c>
      <c r="G7" t="s">
        <v>2537</v>
      </c>
    </row>
    <row r="8" spans="1:11" x14ac:dyDescent="0.3">
      <c r="A8" s="5" t="s">
        <v>2519</v>
      </c>
      <c r="B8" t="s">
        <v>2529</v>
      </c>
      <c r="C8" t="s">
        <v>2526</v>
      </c>
    </row>
    <row r="9" spans="1:11" x14ac:dyDescent="0.3">
      <c r="A9" s="6">
        <v>1</v>
      </c>
      <c r="B9">
        <v>546</v>
      </c>
      <c r="C9" s="10">
        <v>32413.300000000003</v>
      </c>
    </row>
    <row r="10" spans="1:11" x14ac:dyDescent="0.3">
      <c r="A10" s="6">
        <v>2</v>
      </c>
      <c r="B10">
        <v>905</v>
      </c>
      <c r="C10" s="10">
        <v>49562.999999999993</v>
      </c>
    </row>
    <row r="11" spans="1:11" x14ac:dyDescent="0.3">
      <c r="A11" s="6">
        <v>3</v>
      </c>
      <c r="B11">
        <v>796</v>
      </c>
      <c r="C11" s="10">
        <v>41700.400000000016</v>
      </c>
    </row>
    <row r="12" spans="1:11" x14ac:dyDescent="0.3">
      <c r="A12" s="6">
        <v>4</v>
      </c>
      <c r="B12">
        <v>913</v>
      </c>
      <c r="C12" s="10">
        <v>46782.599999999984</v>
      </c>
    </row>
    <row r="13" spans="1:11" x14ac:dyDescent="0.3">
      <c r="A13" s="6">
        <v>5</v>
      </c>
      <c r="B13">
        <v>844</v>
      </c>
      <c r="C13" s="10">
        <v>42676.100000000006</v>
      </c>
    </row>
    <row r="14" spans="1:11" x14ac:dyDescent="0.3">
      <c r="A14" s="6">
        <v>6</v>
      </c>
      <c r="B14">
        <v>1202</v>
      </c>
      <c r="C14" s="10">
        <v>62910.7</v>
      </c>
    </row>
    <row r="15" spans="1:11" x14ac:dyDescent="0.3">
      <c r="A15" s="6">
        <v>7</v>
      </c>
      <c r="B15">
        <v>935</v>
      </c>
      <c r="C15" s="10">
        <v>50332.200000000004</v>
      </c>
    </row>
    <row r="16" spans="1:11" x14ac:dyDescent="0.3">
      <c r="A16" s="6">
        <v>8</v>
      </c>
      <c r="B16">
        <v>1128</v>
      </c>
      <c r="C16" s="10">
        <v>58760.599999999977</v>
      </c>
    </row>
    <row r="17" spans="1:20" x14ac:dyDescent="0.3">
      <c r="A17" s="6">
        <v>9</v>
      </c>
      <c r="B17">
        <v>1007</v>
      </c>
      <c r="C17" s="10">
        <v>52017.299999999996</v>
      </c>
    </row>
    <row r="18" spans="1:20" x14ac:dyDescent="0.3">
      <c r="A18" s="6">
        <v>10</v>
      </c>
      <c r="B18">
        <v>1128</v>
      </c>
      <c r="C18" s="10">
        <v>64915.700000000033</v>
      </c>
    </row>
    <row r="19" spans="1:20" x14ac:dyDescent="0.3">
      <c r="A19" s="6">
        <v>11</v>
      </c>
      <c r="B19">
        <v>861</v>
      </c>
      <c r="C19" s="10">
        <v>45943.80000000001</v>
      </c>
    </row>
    <row r="20" spans="1:20" x14ac:dyDescent="0.3">
      <c r="A20" s="6">
        <v>12</v>
      </c>
      <c r="B20">
        <v>944</v>
      </c>
      <c r="C20" s="10">
        <v>55077.900000000031</v>
      </c>
    </row>
    <row r="21" spans="1:20" x14ac:dyDescent="0.3">
      <c r="A21" s="6">
        <v>13</v>
      </c>
      <c r="B21">
        <v>788</v>
      </c>
      <c r="C21" s="10">
        <v>45926.19999999999</v>
      </c>
    </row>
    <row r="22" spans="1:20" x14ac:dyDescent="0.3">
      <c r="A22" s="6" t="s">
        <v>2520</v>
      </c>
      <c r="B22">
        <v>11997</v>
      </c>
      <c r="C22" s="10">
        <v>649019.79999999993</v>
      </c>
    </row>
    <row r="23" spans="1:20" x14ac:dyDescent="0.3">
      <c r="O23" t="s">
        <v>2557</v>
      </c>
    </row>
    <row r="24" spans="1:20" x14ac:dyDescent="0.3">
      <c r="A24" t="s">
        <v>2543</v>
      </c>
      <c r="O24" s="5" t="s">
        <v>2526</v>
      </c>
      <c r="P24" s="5" t="s">
        <v>2521</v>
      </c>
    </row>
    <row r="25" spans="1:20" x14ac:dyDescent="0.3">
      <c r="O25" s="5" t="s">
        <v>2519</v>
      </c>
      <c r="P25" t="s">
        <v>2522</v>
      </c>
      <c r="Q25" t="s">
        <v>2523</v>
      </c>
      <c r="R25" t="s">
        <v>2524</v>
      </c>
      <c r="S25" t="s">
        <v>2525</v>
      </c>
      <c r="T25" t="s">
        <v>2520</v>
      </c>
    </row>
    <row r="26" spans="1:20" x14ac:dyDescent="0.3">
      <c r="A26" s="5" t="s">
        <v>2519</v>
      </c>
      <c r="B26" t="s">
        <v>2528</v>
      </c>
      <c r="O26" s="6" t="s">
        <v>18</v>
      </c>
      <c r="P26" s="7">
        <v>0.18961825201634841</v>
      </c>
      <c r="Q26" s="7">
        <v>0.12262322351336576</v>
      </c>
      <c r="R26" s="7">
        <v>1.060537752469185E-2</v>
      </c>
      <c r="S26" s="7">
        <v>3.0599220547662797E-2</v>
      </c>
      <c r="T26" s="7">
        <v>0.35344607360206881</v>
      </c>
    </row>
    <row r="27" spans="1:20" x14ac:dyDescent="0.3">
      <c r="A27" s="6">
        <v>1</v>
      </c>
      <c r="B27">
        <v>397</v>
      </c>
      <c r="O27" s="6" t="s">
        <v>51</v>
      </c>
      <c r="P27" s="7">
        <v>5.0283982091147303E-2</v>
      </c>
      <c r="Q27" s="7">
        <v>4.3060781812819873E-2</v>
      </c>
      <c r="R27" s="7">
        <v>1.5320025675641944E-3</v>
      </c>
      <c r="S27" s="7">
        <v>1.7794988689097006E-2</v>
      </c>
      <c r="T27" s="7">
        <v>0.11267175516062837</v>
      </c>
    </row>
    <row r="28" spans="1:20" x14ac:dyDescent="0.3">
      <c r="A28" s="6">
        <v>2</v>
      </c>
      <c r="B28">
        <v>540</v>
      </c>
      <c r="O28" s="6" t="s">
        <v>70</v>
      </c>
      <c r="P28" s="7">
        <v>6.3496059750411282E-2</v>
      </c>
      <c r="Q28" s="7">
        <v>4.6071629863988765E-2</v>
      </c>
      <c r="R28" s="7">
        <v>2.306247051322625E-3</v>
      </c>
      <c r="S28" s="7">
        <v>3.8927934093844286E-3</v>
      </c>
      <c r="T28" s="7">
        <v>0.11576673007510711</v>
      </c>
    </row>
    <row r="29" spans="1:20" x14ac:dyDescent="0.3">
      <c r="A29" s="6">
        <v>3</v>
      </c>
      <c r="B29">
        <v>375</v>
      </c>
      <c r="O29" s="6" t="s">
        <v>40</v>
      </c>
      <c r="P29" s="7">
        <v>9.6337892927149532E-2</v>
      </c>
      <c r="Q29" s="7">
        <v>6.7920115842382611E-2</v>
      </c>
      <c r="R29" s="7">
        <v>5.4979832664581261E-3</v>
      </c>
      <c r="S29" s="7">
        <v>1.2933041488102518E-2</v>
      </c>
      <c r="T29" s="7">
        <v>0.1826890335240928</v>
      </c>
    </row>
    <row r="30" spans="1:20" x14ac:dyDescent="0.3">
      <c r="A30" s="6">
        <v>4</v>
      </c>
      <c r="B30">
        <v>246</v>
      </c>
      <c r="O30" s="6" t="s">
        <v>35</v>
      </c>
      <c r="P30" s="7">
        <v>0.12522098709469262</v>
      </c>
      <c r="Q30" s="7">
        <v>9.1492740283116228E-2</v>
      </c>
      <c r="R30" s="7">
        <v>6.3042760790965081E-3</v>
      </c>
      <c r="S30" s="7">
        <v>1.2408404181197551E-2</v>
      </c>
      <c r="T30" s="7">
        <v>0.23542640763810288</v>
      </c>
    </row>
    <row r="31" spans="1:20" x14ac:dyDescent="0.3">
      <c r="A31" s="6">
        <v>5</v>
      </c>
      <c r="B31">
        <v>195</v>
      </c>
      <c r="O31" s="6" t="s">
        <v>2520</v>
      </c>
      <c r="P31" s="7">
        <v>0.52495717387974916</v>
      </c>
      <c r="Q31" s="7">
        <v>0.3711684913156732</v>
      </c>
      <c r="R31" s="7">
        <v>2.6245886489133303E-2</v>
      </c>
      <c r="S31" s="7">
        <v>7.7628448315444312E-2</v>
      </c>
      <c r="T31" s="7">
        <v>1</v>
      </c>
    </row>
    <row r="32" spans="1:20" x14ac:dyDescent="0.3">
      <c r="A32" s="6" t="s">
        <v>2545</v>
      </c>
      <c r="B32">
        <v>414</v>
      </c>
    </row>
    <row r="33" spans="1:6" x14ac:dyDescent="0.3">
      <c r="A33" s="6" t="s">
        <v>2544</v>
      </c>
      <c r="B33">
        <v>233</v>
      </c>
    </row>
    <row r="34" spans="1:6" x14ac:dyDescent="0.3">
      <c r="A34" s="6" t="s">
        <v>2520</v>
      </c>
      <c r="B34">
        <v>2400</v>
      </c>
    </row>
    <row r="41" spans="1:6" x14ac:dyDescent="0.3">
      <c r="A41" t="s">
        <v>2546</v>
      </c>
    </row>
    <row r="43" spans="1:6" x14ac:dyDescent="0.3">
      <c r="A43" s="5" t="s">
        <v>2529</v>
      </c>
      <c r="B43" s="5" t="s">
        <v>2521</v>
      </c>
    </row>
    <row r="44" spans="1:6" x14ac:dyDescent="0.3">
      <c r="A44" s="5" t="s">
        <v>2519</v>
      </c>
      <c r="B44" t="s">
        <v>2522</v>
      </c>
      <c r="C44" t="s">
        <v>2523</v>
      </c>
      <c r="D44" t="s">
        <v>2524</v>
      </c>
      <c r="E44" t="s">
        <v>2525</v>
      </c>
      <c r="F44" t="s">
        <v>2520</v>
      </c>
    </row>
    <row r="45" spans="1:6" x14ac:dyDescent="0.3">
      <c r="A45" s="6" t="s">
        <v>44</v>
      </c>
      <c r="B45">
        <v>744</v>
      </c>
      <c r="C45">
        <v>713</v>
      </c>
      <c r="D45">
        <v>90</v>
      </c>
      <c r="E45">
        <v>98</v>
      </c>
      <c r="F45">
        <v>1645</v>
      </c>
    </row>
    <row r="46" spans="1:6" x14ac:dyDescent="0.3">
      <c r="A46" s="6" t="s">
        <v>39</v>
      </c>
      <c r="B46">
        <v>716</v>
      </c>
      <c r="C46">
        <v>598</v>
      </c>
      <c r="D46">
        <v>18</v>
      </c>
      <c r="E46">
        <v>214</v>
      </c>
      <c r="F46">
        <v>1546</v>
      </c>
    </row>
    <row r="47" spans="1:6" x14ac:dyDescent="0.3">
      <c r="A47" s="6" t="s">
        <v>26</v>
      </c>
      <c r="B47">
        <v>627</v>
      </c>
      <c r="C47">
        <v>393</v>
      </c>
      <c r="D47">
        <v>29</v>
      </c>
      <c r="E47">
        <v>137</v>
      </c>
      <c r="F47">
        <v>1186</v>
      </c>
    </row>
    <row r="48" spans="1:6" x14ac:dyDescent="0.3">
      <c r="A48" s="6" t="s">
        <v>22</v>
      </c>
      <c r="B48">
        <v>568</v>
      </c>
      <c r="C48">
        <v>306</v>
      </c>
      <c r="D48">
        <v>22</v>
      </c>
      <c r="E48">
        <v>16</v>
      </c>
      <c r="F48">
        <v>912</v>
      </c>
    </row>
    <row r="49" spans="1:6" x14ac:dyDescent="0.3">
      <c r="A49" s="6" t="s">
        <v>54</v>
      </c>
      <c r="B49">
        <v>482</v>
      </c>
      <c r="C49">
        <v>295</v>
      </c>
      <c r="D49">
        <v>8</v>
      </c>
      <c r="E49">
        <v>22</v>
      </c>
      <c r="F49">
        <v>807</v>
      </c>
    </row>
    <row r="50" spans="1:6" x14ac:dyDescent="0.3">
      <c r="A50" s="6" t="s">
        <v>16</v>
      </c>
      <c r="B50">
        <v>428</v>
      </c>
      <c r="C50">
        <v>293</v>
      </c>
      <c r="E50">
        <v>24</v>
      </c>
      <c r="F50">
        <v>745</v>
      </c>
    </row>
    <row r="51" spans="1:6" x14ac:dyDescent="0.3">
      <c r="A51" s="6" t="s">
        <v>46</v>
      </c>
      <c r="B51">
        <v>445</v>
      </c>
      <c r="C51">
        <v>202</v>
      </c>
      <c r="D51">
        <v>14</v>
      </c>
      <c r="E51">
        <v>39</v>
      </c>
      <c r="F51">
        <v>700</v>
      </c>
    </row>
    <row r="52" spans="1:6" x14ac:dyDescent="0.3">
      <c r="A52" s="6" t="s">
        <v>32</v>
      </c>
      <c r="B52">
        <v>431</v>
      </c>
      <c r="C52">
        <v>187</v>
      </c>
      <c r="D52">
        <v>14</v>
      </c>
      <c r="E52">
        <v>15</v>
      </c>
      <c r="F52">
        <v>647</v>
      </c>
    </row>
    <row r="53" spans="1:6" x14ac:dyDescent="0.3">
      <c r="A53" s="6" t="s">
        <v>42</v>
      </c>
      <c r="B53">
        <v>264</v>
      </c>
      <c r="C53">
        <v>318</v>
      </c>
      <c r="D53">
        <v>15</v>
      </c>
      <c r="E53">
        <v>9</v>
      </c>
      <c r="F53">
        <v>606</v>
      </c>
    </row>
    <row r="54" spans="1:6" x14ac:dyDescent="0.3">
      <c r="A54" s="6" t="s">
        <v>37</v>
      </c>
      <c r="B54">
        <v>296</v>
      </c>
      <c r="C54">
        <v>275</v>
      </c>
      <c r="D54">
        <v>9</v>
      </c>
      <c r="E54">
        <v>23</v>
      </c>
      <c r="F54">
        <v>603</v>
      </c>
    </row>
    <row r="55" spans="1:6" x14ac:dyDescent="0.3">
      <c r="A55" s="6" t="s">
        <v>123</v>
      </c>
      <c r="B55">
        <v>153</v>
      </c>
      <c r="C55">
        <v>246</v>
      </c>
      <c r="D55">
        <v>30</v>
      </c>
      <c r="E55">
        <v>8</v>
      </c>
      <c r="F55">
        <v>437</v>
      </c>
    </row>
    <row r="56" spans="1:6" x14ac:dyDescent="0.3">
      <c r="A56" s="6" t="s">
        <v>146</v>
      </c>
      <c r="B56">
        <v>189</v>
      </c>
      <c r="C56">
        <v>168</v>
      </c>
      <c r="D56">
        <v>10</v>
      </c>
      <c r="E56">
        <v>31</v>
      </c>
      <c r="F56">
        <v>398</v>
      </c>
    </row>
    <row r="57" spans="1:6" x14ac:dyDescent="0.3">
      <c r="A57" s="6" t="s">
        <v>69</v>
      </c>
      <c r="B57">
        <v>234</v>
      </c>
      <c r="C57">
        <v>93</v>
      </c>
      <c r="D57">
        <v>19</v>
      </c>
      <c r="E57">
        <v>24</v>
      </c>
      <c r="F57">
        <v>370</v>
      </c>
    </row>
    <row r="58" spans="1:6" x14ac:dyDescent="0.3">
      <c r="A58" s="6" t="s">
        <v>30</v>
      </c>
      <c r="B58">
        <v>146</v>
      </c>
      <c r="C58">
        <v>94</v>
      </c>
      <c r="D58">
        <v>4</v>
      </c>
      <c r="E58">
        <v>28</v>
      </c>
      <c r="F58">
        <v>272</v>
      </c>
    </row>
    <row r="59" spans="1:6" x14ac:dyDescent="0.3">
      <c r="A59" s="6" t="s">
        <v>135</v>
      </c>
      <c r="B59">
        <v>127</v>
      </c>
      <c r="C59">
        <v>118</v>
      </c>
      <c r="D59">
        <v>13</v>
      </c>
      <c r="E59">
        <v>12</v>
      </c>
      <c r="F59">
        <v>270</v>
      </c>
    </row>
    <row r="60" spans="1:6" x14ac:dyDescent="0.3">
      <c r="A60" s="6" t="s">
        <v>67</v>
      </c>
      <c r="B60">
        <v>179</v>
      </c>
      <c r="C60">
        <v>76</v>
      </c>
      <c r="D60">
        <v>3</v>
      </c>
      <c r="F60">
        <v>258</v>
      </c>
    </row>
    <row r="61" spans="1:6" x14ac:dyDescent="0.3">
      <c r="A61" s="6" t="s">
        <v>128</v>
      </c>
      <c r="B61">
        <v>99</v>
      </c>
      <c r="C61">
        <v>69</v>
      </c>
      <c r="D61">
        <v>3</v>
      </c>
      <c r="E61">
        <v>24</v>
      </c>
      <c r="F61">
        <v>195</v>
      </c>
    </row>
    <row r="62" spans="1:6" x14ac:dyDescent="0.3">
      <c r="A62" s="6" t="s">
        <v>76</v>
      </c>
      <c r="B62">
        <v>75</v>
      </c>
      <c r="C62">
        <v>103</v>
      </c>
      <c r="D62">
        <v>4</v>
      </c>
      <c r="E62">
        <v>6</v>
      </c>
      <c r="F62">
        <v>188</v>
      </c>
    </row>
    <row r="63" spans="1:6" x14ac:dyDescent="0.3">
      <c r="A63" s="6" t="s">
        <v>81</v>
      </c>
      <c r="B63">
        <v>43</v>
      </c>
      <c r="C63">
        <v>90</v>
      </c>
      <c r="D63">
        <v>8</v>
      </c>
      <c r="E63">
        <v>6</v>
      </c>
      <c r="F63">
        <v>147</v>
      </c>
    </row>
    <row r="64" spans="1:6" x14ac:dyDescent="0.3">
      <c r="A64" s="6" t="s">
        <v>171</v>
      </c>
      <c r="B64">
        <v>26</v>
      </c>
      <c r="C64">
        <v>35</v>
      </c>
      <c r="D64">
        <v>4</v>
      </c>
      <c r="F64">
        <v>65</v>
      </c>
    </row>
    <row r="65" spans="1:12" x14ac:dyDescent="0.3">
      <c r="A65" s="6" t="s">
        <v>2520</v>
      </c>
      <c r="B65">
        <v>6272</v>
      </c>
      <c r="C65">
        <v>4672</v>
      </c>
      <c r="D65">
        <v>317</v>
      </c>
      <c r="E65">
        <v>736</v>
      </c>
      <c r="F65">
        <v>11997</v>
      </c>
    </row>
    <row r="67" spans="1:12" x14ac:dyDescent="0.3">
      <c r="B67" t="s">
        <v>2547</v>
      </c>
    </row>
    <row r="68" spans="1:12" x14ac:dyDescent="0.3">
      <c r="A68" s="5" t="s">
        <v>2519</v>
      </c>
      <c r="B68" t="s">
        <v>2529</v>
      </c>
    </row>
    <row r="69" spans="1:12" x14ac:dyDescent="0.3">
      <c r="A69" s="6" t="s">
        <v>2522</v>
      </c>
      <c r="B69">
        <v>6272</v>
      </c>
    </row>
    <row r="70" spans="1:12" x14ac:dyDescent="0.3">
      <c r="A70" s="6" t="s">
        <v>2523</v>
      </c>
      <c r="B70">
        <v>4672</v>
      </c>
    </row>
    <row r="71" spans="1:12" x14ac:dyDescent="0.3">
      <c r="A71" s="6" t="s">
        <v>2524</v>
      </c>
      <c r="B71">
        <v>317</v>
      </c>
    </row>
    <row r="72" spans="1:12" x14ac:dyDescent="0.3">
      <c r="A72" s="6" t="s">
        <v>2525</v>
      </c>
      <c r="B72">
        <v>736</v>
      </c>
    </row>
    <row r="73" spans="1:12" x14ac:dyDescent="0.3">
      <c r="A73" s="6" t="s">
        <v>2520</v>
      </c>
      <c r="B73">
        <v>11997</v>
      </c>
    </row>
    <row r="76" spans="1:12" x14ac:dyDescent="0.3">
      <c r="A76" s="6" t="s">
        <v>2548</v>
      </c>
      <c r="F76" t="s">
        <v>2549</v>
      </c>
    </row>
    <row r="77" spans="1:12" x14ac:dyDescent="0.3">
      <c r="A77" s="5" t="s">
        <v>10</v>
      </c>
      <c r="B77" s="5" t="s">
        <v>11</v>
      </c>
      <c r="C77" t="s">
        <v>2529</v>
      </c>
      <c r="D77" t="s">
        <v>2526</v>
      </c>
      <c r="F77" t="s">
        <v>10</v>
      </c>
      <c r="G77" t="s">
        <v>11</v>
      </c>
      <c r="H77" t="s">
        <v>2533</v>
      </c>
      <c r="J77" t="s">
        <v>2550</v>
      </c>
      <c r="K77" t="s">
        <v>11</v>
      </c>
      <c r="L77" t="s">
        <v>2534</v>
      </c>
    </row>
    <row r="78" spans="1:12" x14ac:dyDescent="0.3">
      <c r="A78" t="s">
        <v>19</v>
      </c>
      <c r="B78" t="s">
        <v>115</v>
      </c>
      <c r="C78">
        <v>579</v>
      </c>
      <c r="D78">
        <v>31884.999999999996</v>
      </c>
      <c r="F78" s="11" t="s">
        <v>19</v>
      </c>
      <c r="G78" t="s">
        <v>115</v>
      </c>
      <c r="H78">
        <v>579</v>
      </c>
      <c r="J78" s="11" t="s">
        <v>19</v>
      </c>
      <c r="K78" t="s">
        <v>115</v>
      </c>
      <c r="L78">
        <v>31884.999999999996</v>
      </c>
    </row>
    <row r="79" spans="1:12" x14ac:dyDescent="0.3">
      <c r="A79" t="s">
        <v>19</v>
      </c>
      <c r="B79" t="s">
        <v>20</v>
      </c>
      <c r="C79">
        <v>1</v>
      </c>
      <c r="D79">
        <v>10.9</v>
      </c>
      <c r="F79" s="11" t="s">
        <v>19</v>
      </c>
      <c r="G79" t="s">
        <v>20</v>
      </c>
      <c r="H79">
        <v>1</v>
      </c>
      <c r="J79" s="11" t="s">
        <v>19</v>
      </c>
      <c r="K79" t="s">
        <v>20</v>
      </c>
      <c r="L79">
        <v>10.9</v>
      </c>
    </row>
    <row r="80" spans="1:12" x14ac:dyDescent="0.3">
      <c r="A80" t="s">
        <v>19</v>
      </c>
      <c r="B80" t="s">
        <v>641</v>
      </c>
      <c r="C80">
        <v>9</v>
      </c>
      <c r="D80">
        <v>800.3</v>
      </c>
      <c r="F80" s="11" t="s">
        <v>19</v>
      </c>
      <c r="G80" t="s">
        <v>641</v>
      </c>
      <c r="H80">
        <v>9</v>
      </c>
      <c r="J80" s="11" t="s">
        <v>19</v>
      </c>
      <c r="K80" t="s">
        <v>641</v>
      </c>
      <c r="L80">
        <v>800.3</v>
      </c>
    </row>
    <row r="81" spans="1:12" x14ac:dyDescent="0.3">
      <c r="A81" t="s">
        <v>19</v>
      </c>
      <c r="B81" t="s">
        <v>967</v>
      </c>
      <c r="C81">
        <v>35</v>
      </c>
      <c r="D81">
        <v>1062.5999999999999</v>
      </c>
      <c r="F81" s="11" t="s">
        <v>19</v>
      </c>
      <c r="G81" t="s">
        <v>967</v>
      </c>
      <c r="H81">
        <v>35</v>
      </c>
      <c r="J81" s="11" t="s">
        <v>19</v>
      </c>
      <c r="K81" t="s">
        <v>967</v>
      </c>
      <c r="L81">
        <v>1062.5999999999999</v>
      </c>
    </row>
    <row r="82" spans="1:12" x14ac:dyDescent="0.3">
      <c r="A82" t="s">
        <v>19</v>
      </c>
      <c r="B82" t="s">
        <v>84</v>
      </c>
      <c r="C82">
        <v>12</v>
      </c>
      <c r="D82">
        <v>326.20000000000005</v>
      </c>
      <c r="F82" s="11" t="s">
        <v>19</v>
      </c>
      <c r="G82" t="s">
        <v>84</v>
      </c>
      <c r="H82">
        <v>12</v>
      </c>
      <c r="J82" s="11" t="s">
        <v>19</v>
      </c>
      <c r="K82" t="s">
        <v>84</v>
      </c>
      <c r="L82">
        <v>326.20000000000005</v>
      </c>
    </row>
    <row r="83" spans="1:12" x14ac:dyDescent="0.3">
      <c r="A83" t="s">
        <v>19</v>
      </c>
      <c r="B83" t="s">
        <v>1383</v>
      </c>
      <c r="C83">
        <v>4</v>
      </c>
      <c r="D83">
        <v>167.5</v>
      </c>
      <c r="F83" s="11" t="s">
        <v>19</v>
      </c>
      <c r="G83" t="s">
        <v>1383</v>
      </c>
      <c r="H83">
        <v>4</v>
      </c>
      <c r="J83" s="11" t="s">
        <v>19</v>
      </c>
      <c r="K83" t="s">
        <v>1383</v>
      </c>
      <c r="L83">
        <v>167.5</v>
      </c>
    </row>
    <row r="84" spans="1:12" x14ac:dyDescent="0.3">
      <c r="A84" t="s">
        <v>19</v>
      </c>
      <c r="B84" t="s">
        <v>24</v>
      </c>
      <c r="C84">
        <v>341</v>
      </c>
      <c r="D84">
        <v>16168.7</v>
      </c>
      <c r="F84" s="11" t="s">
        <v>19</v>
      </c>
      <c r="G84" t="s">
        <v>24</v>
      </c>
      <c r="H84">
        <v>341</v>
      </c>
      <c r="J84" s="11" t="s">
        <v>19</v>
      </c>
      <c r="K84" t="s">
        <v>24</v>
      </c>
      <c r="L84">
        <v>16168.7</v>
      </c>
    </row>
    <row r="85" spans="1:12" x14ac:dyDescent="0.3">
      <c r="A85" t="s">
        <v>19</v>
      </c>
      <c r="B85" t="s">
        <v>2204</v>
      </c>
      <c r="C85">
        <v>13</v>
      </c>
      <c r="D85">
        <v>322.40000000000003</v>
      </c>
      <c r="F85" s="11" t="s">
        <v>19</v>
      </c>
      <c r="G85" t="s">
        <v>2204</v>
      </c>
      <c r="H85">
        <v>13</v>
      </c>
      <c r="J85" s="11" t="s">
        <v>19</v>
      </c>
      <c r="K85" t="s">
        <v>2204</v>
      </c>
      <c r="L85">
        <v>322.40000000000003</v>
      </c>
    </row>
    <row r="86" spans="1:12" x14ac:dyDescent="0.3">
      <c r="A86" t="s">
        <v>19</v>
      </c>
      <c r="B86" t="s">
        <v>437</v>
      </c>
      <c r="C86">
        <v>31</v>
      </c>
      <c r="D86">
        <v>2092.8000000000002</v>
      </c>
      <c r="F86" s="11" t="s">
        <v>19</v>
      </c>
      <c r="G86" t="s">
        <v>437</v>
      </c>
      <c r="H86">
        <v>31</v>
      </c>
      <c r="J86" s="11" t="s">
        <v>19</v>
      </c>
      <c r="K86" t="s">
        <v>437</v>
      </c>
      <c r="L86">
        <v>2092.8000000000002</v>
      </c>
    </row>
    <row r="87" spans="1:12" x14ac:dyDescent="0.3">
      <c r="A87" t="s">
        <v>19</v>
      </c>
      <c r="B87" t="s">
        <v>28</v>
      </c>
      <c r="C87">
        <v>279</v>
      </c>
      <c r="D87">
        <v>12662.500000000002</v>
      </c>
      <c r="F87" s="11" t="s">
        <v>19</v>
      </c>
      <c r="G87" t="s">
        <v>28</v>
      </c>
      <c r="H87">
        <v>279</v>
      </c>
      <c r="J87" s="11" t="s">
        <v>19</v>
      </c>
      <c r="K87" t="s">
        <v>28</v>
      </c>
      <c r="L87">
        <v>12662.500000000002</v>
      </c>
    </row>
    <row r="88" spans="1:12" x14ac:dyDescent="0.3">
      <c r="A88" t="s">
        <v>19</v>
      </c>
      <c r="B88" t="s">
        <v>208</v>
      </c>
      <c r="C88">
        <v>9</v>
      </c>
      <c r="D88">
        <v>343.2</v>
      </c>
      <c r="F88" s="11" t="s">
        <v>19</v>
      </c>
      <c r="G88" t="s">
        <v>208</v>
      </c>
      <c r="H88">
        <v>9</v>
      </c>
      <c r="J88" s="11" t="s">
        <v>19</v>
      </c>
      <c r="K88" t="s">
        <v>208</v>
      </c>
      <c r="L88">
        <v>343.2</v>
      </c>
    </row>
    <row r="89" spans="1:12" x14ac:dyDescent="0.3">
      <c r="A89" t="s">
        <v>19</v>
      </c>
      <c r="B89" t="s">
        <v>587</v>
      </c>
      <c r="C89">
        <v>49</v>
      </c>
      <c r="D89">
        <v>2188.2999999999997</v>
      </c>
      <c r="F89" s="11" t="s">
        <v>19</v>
      </c>
      <c r="G89" t="s">
        <v>587</v>
      </c>
      <c r="H89">
        <v>49</v>
      </c>
      <c r="J89" s="11" t="s">
        <v>19</v>
      </c>
      <c r="K89" t="s">
        <v>587</v>
      </c>
      <c r="L89">
        <v>2188.2999999999997</v>
      </c>
    </row>
    <row r="90" spans="1:12" x14ac:dyDescent="0.3">
      <c r="A90" t="s">
        <v>19</v>
      </c>
      <c r="B90" t="s">
        <v>331</v>
      </c>
      <c r="C90">
        <v>59</v>
      </c>
      <c r="D90">
        <v>2661.5999999999995</v>
      </c>
      <c r="F90" s="11" t="s">
        <v>19</v>
      </c>
      <c r="G90" t="s">
        <v>331</v>
      </c>
      <c r="H90">
        <v>59</v>
      </c>
      <c r="J90" s="11" t="s">
        <v>19</v>
      </c>
      <c r="K90" t="s">
        <v>331</v>
      </c>
      <c r="L90">
        <v>2661.5999999999995</v>
      </c>
    </row>
    <row r="91" spans="1:12" x14ac:dyDescent="0.3">
      <c r="A91" t="s">
        <v>19</v>
      </c>
      <c r="B91" t="s">
        <v>86</v>
      </c>
      <c r="C91">
        <v>8</v>
      </c>
      <c r="D91">
        <v>887.5</v>
      </c>
      <c r="F91" s="11" t="s">
        <v>19</v>
      </c>
      <c r="G91" t="s">
        <v>86</v>
      </c>
      <c r="H91">
        <v>8</v>
      </c>
      <c r="J91" s="11" t="s">
        <v>19</v>
      </c>
      <c r="K91" t="s">
        <v>86</v>
      </c>
      <c r="L91">
        <v>887.5</v>
      </c>
    </row>
    <row r="92" spans="1:12" x14ac:dyDescent="0.3">
      <c r="A92" t="s">
        <v>19</v>
      </c>
      <c r="B92" t="s">
        <v>147</v>
      </c>
      <c r="C92">
        <v>222</v>
      </c>
      <c r="D92">
        <v>11354.199999999993</v>
      </c>
      <c r="F92" s="11" t="s">
        <v>19</v>
      </c>
      <c r="G92" t="s">
        <v>147</v>
      </c>
      <c r="H92">
        <v>222</v>
      </c>
      <c r="J92" s="11" t="s">
        <v>19</v>
      </c>
      <c r="K92" t="s">
        <v>147</v>
      </c>
      <c r="L92">
        <v>11354.199999999993</v>
      </c>
    </row>
    <row r="93" spans="1:12" x14ac:dyDescent="0.3">
      <c r="A93" t="s">
        <v>19</v>
      </c>
      <c r="B93" t="s">
        <v>334</v>
      </c>
      <c r="C93">
        <v>36</v>
      </c>
      <c r="D93">
        <v>1558.4</v>
      </c>
      <c r="F93" s="11" t="s">
        <v>19</v>
      </c>
      <c r="G93" t="s">
        <v>334</v>
      </c>
      <c r="H93">
        <v>36</v>
      </c>
      <c r="J93" s="11" t="s">
        <v>19</v>
      </c>
      <c r="K93" t="s">
        <v>334</v>
      </c>
      <c r="L93">
        <v>1558.4</v>
      </c>
    </row>
    <row r="94" spans="1:12" x14ac:dyDescent="0.3">
      <c r="A94" t="s">
        <v>19</v>
      </c>
      <c r="B94" t="s">
        <v>949</v>
      </c>
      <c r="C94">
        <v>30</v>
      </c>
      <c r="D94">
        <v>2223.9</v>
      </c>
      <c r="F94" s="11" t="s">
        <v>19</v>
      </c>
      <c r="G94" t="s">
        <v>949</v>
      </c>
      <c r="H94">
        <v>30</v>
      </c>
      <c r="J94" s="11" t="s">
        <v>19</v>
      </c>
      <c r="K94" t="s">
        <v>949</v>
      </c>
      <c r="L94">
        <v>2223.9</v>
      </c>
    </row>
    <row r="95" spans="1:12" x14ac:dyDescent="0.3">
      <c r="A95" t="s">
        <v>19</v>
      </c>
      <c r="B95" t="s">
        <v>1426</v>
      </c>
      <c r="C95">
        <v>1</v>
      </c>
      <c r="D95">
        <v>26.2</v>
      </c>
      <c r="F95" s="11" t="s">
        <v>19</v>
      </c>
      <c r="G95" t="s">
        <v>1426</v>
      </c>
      <c r="H95">
        <v>1</v>
      </c>
      <c r="J95" s="11" t="s">
        <v>19</v>
      </c>
      <c r="K95" t="s">
        <v>1426</v>
      </c>
      <c r="L95">
        <v>26.2</v>
      </c>
    </row>
    <row r="96" spans="1:12" x14ac:dyDescent="0.3">
      <c r="A96" t="s">
        <v>19</v>
      </c>
      <c r="B96" t="s">
        <v>33</v>
      </c>
      <c r="C96">
        <v>3991</v>
      </c>
      <c r="D96">
        <v>215551.19999999981</v>
      </c>
      <c r="F96" s="11" t="s">
        <v>19</v>
      </c>
      <c r="G96" t="s">
        <v>33</v>
      </c>
      <c r="H96">
        <v>3991</v>
      </c>
      <c r="J96" s="11" t="s">
        <v>19</v>
      </c>
      <c r="K96" t="s">
        <v>33</v>
      </c>
      <c r="L96">
        <v>215551.19999999981</v>
      </c>
    </row>
    <row r="97" spans="1:12" x14ac:dyDescent="0.3">
      <c r="A97" t="s">
        <v>19</v>
      </c>
      <c r="B97" t="s">
        <v>364</v>
      </c>
      <c r="C97">
        <v>45</v>
      </c>
      <c r="D97">
        <v>2687.3999999999996</v>
      </c>
      <c r="F97" s="11" t="s">
        <v>19</v>
      </c>
      <c r="G97" t="s">
        <v>364</v>
      </c>
      <c r="H97">
        <v>45</v>
      </c>
      <c r="J97" s="11" t="s">
        <v>19</v>
      </c>
      <c r="K97" t="s">
        <v>364</v>
      </c>
      <c r="L97">
        <v>2687.3999999999996</v>
      </c>
    </row>
    <row r="98" spans="1:12" x14ac:dyDescent="0.3">
      <c r="A98" t="s">
        <v>19</v>
      </c>
      <c r="B98" t="s">
        <v>545</v>
      </c>
      <c r="C98">
        <v>39</v>
      </c>
      <c r="D98">
        <v>1463.3000000000002</v>
      </c>
      <c r="F98" s="11" t="s">
        <v>19</v>
      </c>
      <c r="G98" t="s">
        <v>545</v>
      </c>
      <c r="H98">
        <v>39</v>
      </c>
      <c r="J98" s="11" t="s">
        <v>19</v>
      </c>
      <c r="K98" t="s">
        <v>545</v>
      </c>
      <c r="L98">
        <v>1463.3000000000002</v>
      </c>
    </row>
    <row r="99" spans="1:12" x14ac:dyDescent="0.3">
      <c r="A99" t="s">
        <v>19</v>
      </c>
      <c r="B99" t="s">
        <v>416</v>
      </c>
      <c r="C99">
        <v>6</v>
      </c>
      <c r="D99">
        <v>445.79999999999995</v>
      </c>
      <c r="F99" s="11" t="s">
        <v>19</v>
      </c>
      <c r="G99" t="s">
        <v>416</v>
      </c>
      <c r="H99">
        <v>6</v>
      </c>
      <c r="J99" s="11" t="s">
        <v>19</v>
      </c>
      <c r="K99" t="s">
        <v>416</v>
      </c>
      <c r="L99">
        <v>445.79999999999995</v>
      </c>
    </row>
    <row r="100" spans="1:12" x14ac:dyDescent="0.3">
      <c r="A100" t="s">
        <v>19</v>
      </c>
      <c r="B100" t="s">
        <v>258</v>
      </c>
      <c r="C100">
        <v>9</v>
      </c>
      <c r="D100">
        <v>273.59999999999997</v>
      </c>
      <c r="F100" s="11" t="s">
        <v>19</v>
      </c>
      <c r="G100" t="s">
        <v>258</v>
      </c>
      <c r="H100">
        <v>9</v>
      </c>
      <c r="J100" s="11" t="s">
        <v>19</v>
      </c>
      <c r="K100" t="s">
        <v>258</v>
      </c>
      <c r="L100">
        <v>273.59999999999997</v>
      </c>
    </row>
    <row r="101" spans="1:12" x14ac:dyDescent="0.3">
      <c r="A101" t="s">
        <v>19</v>
      </c>
      <c r="B101" t="s">
        <v>186</v>
      </c>
      <c r="C101">
        <v>60</v>
      </c>
      <c r="D101">
        <v>2690.4</v>
      </c>
      <c r="F101" s="11" t="s">
        <v>19</v>
      </c>
      <c r="G101" t="s">
        <v>186</v>
      </c>
      <c r="H101">
        <v>60</v>
      </c>
      <c r="J101" s="11" t="s">
        <v>19</v>
      </c>
      <c r="K101" t="s">
        <v>186</v>
      </c>
      <c r="L101">
        <v>2690.4</v>
      </c>
    </row>
    <row r="102" spans="1:12" x14ac:dyDescent="0.3">
      <c r="A102" t="s">
        <v>19</v>
      </c>
      <c r="B102" t="s">
        <v>392</v>
      </c>
      <c r="C102">
        <v>2</v>
      </c>
      <c r="D102">
        <v>28.4</v>
      </c>
      <c r="F102" s="11" t="s">
        <v>19</v>
      </c>
      <c r="G102" t="s">
        <v>392</v>
      </c>
      <c r="H102">
        <v>2</v>
      </c>
      <c r="J102" s="11" t="s">
        <v>19</v>
      </c>
      <c r="K102" t="s">
        <v>392</v>
      </c>
      <c r="L102">
        <v>28.4</v>
      </c>
    </row>
    <row r="103" spans="1:12" x14ac:dyDescent="0.3">
      <c r="A103" t="s">
        <v>19</v>
      </c>
      <c r="B103" t="s">
        <v>670</v>
      </c>
      <c r="C103">
        <v>4</v>
      </c>
      <c r="D103">
        <v>204.8</v>
      </c>
      <c r="F103" s="11" t="s">
        <v>19</v>
      </c>
      <c r="G103" t="s">
        <v>670</v>
      </c>
      <c r="H103">
        <v>4</v>
      </c>
      <c r="J103" s="11" t="s">
        <v>19</v>
      </c>
      <c r="K103" t="s">
        <v>670</v>
      </c>
      <c r="L103">
        <v>204.8</v>
      </c>
    </row>
    <row r="104" spans="1:12" x14ac:dyDescent="0.3">
      <c r="A104" t="s">
        <v>19</v>
      </c>
      <c r="B104" t="s">
        <v>802</v>
      </c>
      <c r="C104">
        <v>31</v>
      </c>
      <c r="D104">
        <v>1607.8999999999999</v>
      </c>
      <c r="F104" s="11" t="s">
        <v>19</v>
      </c>
      <c r="G104" t="s">
        <v>802</v>
      </c>
      <c r="H104">
        <v>31</v>
      </c>
      <c r="J104" s="11" t="s">
        <v>19</v>
      </c>
      <c r="K104" t="s">
        <v>802</v>
      </c>
      <c r="L104">
        <v>1607.8999999999999</v>
      </c>
    </row>
    <row r="105" spans="1:12" x14ac:dyDescent="0.3">
      <c r="A105" t="s">
        <v>19</v>
      </c>
      <c r="B105" t="s">
        <v>98</v>
      </c>
      <c r="C105">
        <v>88</v>
      </c>
      <c r="D105">
        <v>6444.9</v>
      </c>
      <c r="F105" s="11" t="s">
        <v>19</v>
      </c>
      <c r="G105" t="s">
        <v>98</v>
      </c>
      <c r="H105">
        <v>88</v>
      </c>
      <c r="J105" s="11" t="s">
        <v>19</v>
      </c>
      <c r="K105" t="s">
        <v>98</v>
      </c>
      <c r="L105">
        <v>6444.9</v>
      </c>
    </row>
    <row r="106" spans="1:12" x14ac:dyDescent="0.3">
      <c r="A106" t="s">
        <v>19</v>
      </c>
      <c r="B106" t="s">
        <v>49</v>
      </c>
      <c r="C106">
        <v>25</v>
      </c>
      <c r="D106">
        <v>1809.3</v>
      </c>
      <c r="F106" s="11" t="s">
        <v>19</v>
      </c>
      <c r="G106" t="s">
        <v>49</v>
      </c>
      <c r="H106">
        <v>25</v>
      </c>
      <c r="J106" s="11" t="s">
        <v>19</v>
      </c>
      <c r="K106" t="s">
        <v>49</v>
      </c>
      <c r="L106">
        <v>1809.3</v>
      </c>
    </row>
    <row r="107" spans="1:12" x14ac:dyDescent="0.3">
      <c r="A107" t="s">
        <v>19</v>
      </c>
      <c r="B107" t="s">
        <v>188</v>
      </c>
      <c r="C107">
        <v>178</v>
      </c>
      <c r="D107">
        <v>9680.399999999996</v>
      </c>
      <c r="F107" s="11" t="s">
        <v>19</v>
      </c>
      <c r="G107" t="s">
        <v>188</v>
      </c>
      <c r="H107">
        <v>178</v>
      </c>
      <c r="J107" s="11" t="s">
        <v>19</v>
      </c>
      <c r="K107" t="s">
        <v>188</v>
      </c>
      <c r="L107">
        <v>9680.399999999996</v>
      </c>
    </row>
    <row r="108" spans="1:12" x14ac:dyDescent="0.3">
      <c r="A108" t="s">
        <v>19</v>
      </c>
      <c r="B108" t="s">
        <v>52</v>
      </c>
      <c r="C108">
        <v>141</v>
      </c>
      <c r="D108">
        <v>9414.7999999999993</v>
      </c>
      <c r="F108" s="11" t="s">
        <v>19</v>
      </c>
      <c r="G108" t="s">
        <v>52</v>
      </c>
      <c r="H108">
        <v>141</v>
      </c>
      <c r="J108" s="11" t="s">
        <v>19</v>
      </c>
      <c r="K108" t="s">
        <v>52</v>
      </c>
      <c r="L108">
        <v>9414.7999999999993</v>
      </c>
    </row>
    <row r="109" spans="1:12" x14ac:dyDescent="0.3">
      <c r="A109" t="s">
        <v>19</v>
      </c>
      <c r="B109" t="s">
        <v>338</v>
      </c>
      <c r="C109">
        <v>6</v>
      </c>
      <c r="D109">
        <v>206.1</v>
      </c>
      <c r="F109" s="11" t="s">
        <v>19</v>
      </c>
      <c r="G109" t="s">
        <v>338</v>
      </c>
      <c r="H109">
        <v>6</v>
      </c>
      <c r="J109" s="11" t="s">
        <v>19</v>
      </c>
      <c r="K109" t="s">
        <v>338</v>
      </c>
      <c r="L109">
        <v>206.1</v>
      </c>
    </row>
    <row r="110" spans="1:12" x14ac:dyDescent="0.3">
      <c r="A110" t="s">
        <v>19</v>
      </c>
      <c r="B110" t="s">
        <v>158</v>
      </c>
      <c r="C110">
        <v>178</v>
      </c>
      <c r="D110">
        <v>7691.3</v>
      </c>
      <c r="F110" s="11" t="s">
        <v>19</v>
      </c>
      <c r="G110" t="s">
        <v>158</v>
      </c>
      <c r="H110">
        <v>178</v>
      </c>
      <c r="J110" s="11" t="s">
        <v>19</v>
      </c>
      <c r="K110" t="s">
        <v>158</v>
      </c>
      <c r="L110">
        <v>7691.3</v>
      </c>
    </row>
    <row r="111" spans="1:12" x14ac:dyDescent="0.3">
      <c r="A111" t="s">
        <v>19</v>
      </c>
      <c r="B111" t="s">
        <v>55</v>
      </c>
      <c r="C111">
        <v>699</v>
      </c>
      <c r="D111">
        <v>37784.900000000016</v>
      </c>
      <c r="F111" s="11" t="s">
        <v>19</v>
      </c>
      <c r="G111" t="s">
        <v>55</v>
      </c>
      <c r="H111">
        <v>699</v>
      </c>
      <c r="J111" s="11" t="s">
        <v>19</v>
      </c>
      <c r="K111" t="s">
        <v>55</v>
      </c>
      <c r="L111">
        <v>37784.900000000016</v>
      </c>
    </row>
    <row r="112" spans="1:12" x14ac:dyDescent="0.3">
      <c r="A112" t="s">
        <v>19</v>
      </c>
      <c r="B112" t="s">
        <v>342</v>
      </c>
      <c r="C112">
        <v>23</v>
      </c>
      <c r="D112">
        <v>1129.7</v>
      </c>
      <c r="F112" s="11" t="s">
        <v>19</v>
      </c>
      <c r="G112" t="s">
        <v>342</v>
      </c>
      <c r="H112">
        <v>23</v>
      </c>
      <c r="J112" s="11" t="s">
        <v>19</v>
      </c>
      <c r="K112" t="s">
        <v>342</v>
      </c>
      <c r="L112">
        <v>1129.7</v>
      </c>
    </row>
    <row r="113" spans="1:12" x14ac:dyDescent="0.3">
      <c r="A113" t="s">
        <v>19</v>
      </c>
      <c r="B113" t="s">
        <v>59</v>
      </c>
      <c r="C113">
        <v>356</v>
      </c>
      <c r="D113">
        <v>20988.9</v>
      </c>
      <c r="F113" s="11" t="s">
        <v>19</v>
      </c>
      <c r="G113" t="s">
        <v>59</v>
      </c>
      <c r="H113">
        <v>356</v>
      </c>
      <c r="J113" s="11" t="s">
        <v>19</v>
      </c>
      <c r="K113" t="s">
        <v>59</v>
      </c>
      <c r="L113">
        <v>20988.9</v>
      </c>
    </row>
    <row r="114" spans="1:12" x14ac:dyDescent="0.3">
      <c r="A114" t="s">
        <v>19</v>
      </c>
      <c r="B114" t="s">
        <v>62</v>
      </c>
      <c r="C114">
        <v>1768</v>
      </c>
      <c r="D114">
        <v>98367.099999999977</v>
      </c>
      <c r="F114" s="11" t="s">
        <v>19</v>
      </c>
      <c r="G114" t="s">
        <v>62</v>
      </c>
      <c r="H114">
        <v>1768</v>
      </c>
      <c r="J114" s="11" t="s">
        <v>19</v>
      </c>
      <c r="K114" t="s">
        <v>62</v>
      </c>
      <c r="L114">
        <v>98367.099999999977</v>
      </c>
    </row>
    <row r="115" spans="1:12" x14ac:dyDescent="0.3">
      <c r="A115" t="s">
        <v>19</v>
      </c>
      <c r="B115" t="s">
        <v>103</v>
      </c>
      <c r="C115">
        <v>307</v>
      </c>
      <c r="D115">
        <v>21911.9</v>
      </c>
      <c r="F115" s="11" t="s">
        <v>19</v>
      </c>
      <c r="G115" t="s">
        <v>103</v>
      </c>
      <c r="H115">
        <v>307</v>
      </c>
      <c r="J115" s="11" t="s">
        <v>19</v>
      </c>
      <c r="K115" t="s">
        <v>103</v>
      </c>
      <c r="L115">
        <v>21911.9</v>
      </c>
    </row>
    <row r="116" spans="1:12" x14ac:dyDescent="0.3">
      <c r="A116" t="s">
        <v>19</v>
      </c>
      <c r="B116" t="s">
        <v>201</v>
      </c>
      <c r="C116">
        <v>117</v>
      </c>
      <c r="D116">
        <v>5441.2</v>
      </c>
      <c r="F116" s="11" t="s">
        <v>19</v>
      </c>
      <c r="G116" t="s">
        <v>201</v>
      </c>
      <c r="H116">
        <v>117</v>
      </c>
      <c r="J116" s="11" t="s">
        <v>19</v>
      </c>
      <c r="K116" t="s">
        <v>201</v>
      </c>
      <c r="L116">
        <v>5441.2</v>
      </c>
    </row>
    <row r="117" spans="1:12" x14ac:dyDescent="0.3">
      <c r="A117" t="s">
        <v>19</v>
      </c>
      <c r="B117" t="s">
        <v>429</v>
      </c>
      <c r="C117">
        <v>13</v>
      </c>
      <c r="D117">
        <v>392.8</v>
      </c>
      <c r="F117" s="11" t="s">
        <v>19</v>
      </c>
      <c r="G117" t="s">
        <v>429</v>
      </c>
      <c r="H117">
        <v>13</v>
      </c>
      <c r="J117" s="11" t="s">
        <v>19</v>
      </c>
      <c r="K117" t="s">
        <v>429</v>
      </c>
      <c r="L117">
        <v>392.8</v>
      </c>
    </row>
    <row r="118" spans="1:12" x14ac:dyDescent="0.3">
      <c r="A118" t="s">
        <v>19</v>
      </c>
      <c r="B118" t="s">
        <v>72</v>
      </c>
      <c r="C118">
        <v>364</v>
      </c>
      <c r="D118">
        <v>16172.000000000005</v>
      </c>
      <c r="F118" s="11" t="s">
        <v>19</v>
      </c>
      <c r="G118" t="s">
        <v>72</v>
      </c>
      <c r="H118">
        <v>364</v>
      </c>
      <c r="J118" s="11" t="s">
        <v>19</v>
      </c>
      <c r="K118" t="s">
        <v>72</v>
      </c>
      <c r="L118">
        <v>16172.000000000005</v>
      </c>
    </row>
    <row r="119" spans="1:12" x14ac:dyDescent="0.3">
      <c r="A119" t="s">
        <v>19</v>
      </c>
      <c r="B119" t="s">
        <v>74</v>
      </c>
      <c r="C119">
        <v>95</v>
      </c>
      <c r="D119">
        <v>4334.9999999999991</v>
      </c>
      <c r="F119" s="11" t="s">
        <v>19</v>
      </c>
      <c r="G119" t="s">
        <v>74</v>
      </c>
      <c r="H119">
        <v>95</v>
      </c>
      <c r="J119" s="11" t="s">
        <v>19</v>
      </c>
      <c r="K119" t="s">
        <v>74</v>
      </c>
      <c r="L119">
        <v>4334.9999999999991</v>
      </c>
    </row>
    <row r="120" spans="1:12" x14ac:dyDescent="0.3">
      <c r="A120" t="s">
        <v>19</v>
      </c>
      <c r="B120" t="s">
        <v>77</v>
      </c>
      <c r="C120">
        <v>737</v>
      </c>
      <c r="D120">
        <v>37449.000000000007</v>
      </c>
      <c r="F120" s="11" t="s">
        <v>19</v>
      </c>
      <c r="G120" t="s">
        <v>77</v>
      </c>
      <c r="H120">
        <v>737</v>
      </c>
      <c r="J120" s="11" t="s">
        <v>19</v>
      </c>
      <c r="K120" t="s">
        <v>77</v>
      </c>
      <c r="L120">
        <v>37449.000000000007</v>
      </c>
    </row>
    <row r="121" spans="1:12" x14ac:dyDescent="0.3">
      <c r="A121" t="s">
        <v>19</v>
      </c>
      <c r="B121" t="s">
        <v>309</v>
      </c>
      <c r="C121">
        <v>39</v>
      </c>
      <c r="D121">
        <v>2447.5</v>
      </c>
      <c r="F121" s="11" t="s">
        <v>19</v>
      </c>
      <c r="G121" t="s">
        <v>309</v>
      </c>
      <c r="H121">
        <v>39</v>
      </c>
      <c r="J121" s="11" t="s">
        <v>19</v>
      </c>
      <c r="K121" t="s">
        <v>309</v>
      </c>
      <c r="L121">
        <v>2447.5</v>
      </c>
    </row>
    <row r="122" spans="1:12" x14ac:dyDescent="0.3">
      <c r="A122" t="s">
        <v>19</v>
      </c>
      <c r="B122" t="s">
        <v>1116</v>
      </c>
      <c r="C122">
        <v>56</v>
      </c>
      <c r="D122">
        <v>3391.1</v>
      </c>
      <c r="F122" s="11" t="s">
        <v>19</v>
      </c>
      <c r="G122" t="s">
        <v>1116</v>
      </c>
      <c r="H122">
        <v>56</v>
      </c>
      <c r="J122" s="11" t="s">
        <v>19</v>
      </c>
      <c r="K122" t="s">
        <v>1116</v>
      </c>
      <c r="L122">
        <v>3391.1</v>
      </c>
    </row>
    <row r="123" spans="1:12" x14ac:dyDescent="0.3">
      <c r="A123" t="s">
        <v>19</v>
      </c>
      <c r="B123" t="s">
        <v>700</v>
      </c>
      <c r="C123">
        <v>2</v>
      </c>
      <c r="D123">
        <v>30.8</v>
      </c>
      <c r="F123" s="11" t="s">
        <v>19</v>
      </c>
      <c r="G123" t="s">
        <v>700</v>
      </c>
      <c r="H123">
        <v>2</v>
      </c>
      <c r="J123" s="11" t="s">
        <v>19</v>
      </c>
      <c r="K123" t="s">
        <v>700</v>
      </c>
      <c r="L123">
        <v>30.8</v>
      </c>
    </row>
    <row r="124" spans="1:12" x14ac:dyDescent="0.3">
      <c r="A124" t="s">
        <v>19</v>
      </c>
      <c r="B124" t="s">
        <v>268</v>
      </c>
      <c r="C124">
        <v>8</v>
      </c>
      <c r="D124">
        <v>332.3</v>
      </c>
      <c r="F124" s="11" t="s">
        <v>19</v>
      </c>
      <c r="G124" t="s">
        <v>268</v>
      </c>
      <c r="H124">
        <v>8</v>
      </c>
      <c r="J124" s="11" t="s">
        <v>19</v>
      </c>
      <c r="K124" t="s">
        <v>268</v>
      </c>
      <c r="L124">
        <v>332.3</v>
      </c>
    </row>
    <row r="125" spans="1:12" x14ac:dyDescent="0.3">
      <c r="A125" t="s">
        <v>19</v>
      </c>
      <c r="B125" t="s">
        <v>377</v>
      </c>
      <c r="C125">
        <v>52</v>
      </c>
      <c r="D125">
        <v>3175.9999999999995</v>
      </c>
      <c r="F125" s="11" t="s">
        <v>19</v>
      </c>
      <c r="G125" t="s">
        <v>377</v>
      </c>
      <c r="H125">
        <v>52</v>
      </c>
      <c r="J125" s="11" t="s">
        <v>19</v>
      </c>
      <c r="K125" t="s">
        <v>377</v>
      </c>
      <c r="L125">
        <v>3175.9999999999995</v>
      </c>
    </row>
    <row r="126" spans="1:12" x14ac:dyDescent="0.3">
      <c r="A126" t="s">
        <v>19</v>
      </c>
      <c r="B126" t="s">
        <v>108</v>
      </c>
      <c r="C126">
        <v>295</v>
      </c>
      <c r="D126">
        <v>20939.600000000002</v>
      </c>
      <c r="F126" s="11" t="s">
        <v>19</v>
      </c>
      <c r="G126" t="s">
        <v>108</v>
      </c>
      <c r="H126">
        <v>295</v>
      </c>
      <c r="J126" s="11" t="s">
        <v>19</v>
      </c>
      <c r="K126" t="s">
        <v>108</v>
      </c>
      <c r="L126">
        <v>20939.600000000002</v>
      </c>
    </row>
    <row r="127" spans="1:12" x14ac:dyDescent="0.3">
      <c r="A127" t="s">
        <v>19</v>
      </c>
      <c r="B127" t="s">
        <v>110</v>
      </c>
      <c r="C127">
        <v>195</v>
      </c>
      <c r="D127">
        <v>10185.899999999996</v>
      </c>
      <c r="F127" s="11" t="s">
        <v>19</v>
      </c>
      <c r="G127" t="s">
        <v>110</v>
      </c>
      <c r="H127">
        <v>195</v>
      </c>
      <c r="J127" s="11" t="s">
        <v>19</v>
      </c>
      <c r="K127" t="s">
        <v>110</v>
      </c>
      <c r="L127">
        <v>10185.899999999996</v>
      </c>
    </row>
    <row r="128" spans="1:12" x14ac:dyDescent="0.3">
      <c r="A128" t="s">
        <v>19</v>
      </c>
      <c r="B128" t="s">
        <v>292</v>
      </c>
      <c r="C128">
        <v>20</v>
      </c>
      <c r="D128">
        <v>958.7</v>
      </c>
      <c r="F128" s="11" t="s">
        <v>19</v>
      </c>
      <c r="G128" t="s">
        <v>292</v>
      </c>
      <c r="H128">
        <v>20</v>
      </c>
      <c r="J128" s="11" t="s">
        <v>19</v>
      </c>
      <c r="K128" t="s">
        <v>292</v>
      </c>
      <c r="L128">
        <v>958.7</v>
      </c>
    </row>
    <row r="129" spans="1:15" x14ac:dyDescent="0.3">
      <c r="A129" t="s">
        <v>19</v>
      </c>
      <c r="B129" t="s">
        <v>79</v>
      </c>
      <c r="C129">
        <v>6</v>
      </c>
      <c r="D129">
        <v>323</v>
      </c>
      <c r="F129" s="11" t="s">
        <v>19</v>
      </c>
      <c r="G129" t="s">
        <v>79</v>
      </c>
      <c r="H129">
        <v>6</v>
      </c>
      <c r="J129" s="11" t="s">
        <v>19</v>
      </c>
      <c r="K129" t="s">
        <v>79</v>
      </c>
      <c r="L129">
        <v>323</v>
      </c>
    </row>
    <row r="130" spans="1:15" x14ac:dyDescent="0.3">
      <c r="A130" t="s">
        <v>19</v>
      </c>
      <c r="B130" t="s">
        <v>608</v>
      </c>
      <c r="C130">
        <v>5</v>
      </c>
      <c r="D130">
        <v>167.70000000000002</v>
      </c>
      <c r="F130" s="11" t="s">
        <v>19</v>
      </c>
      <c r="G130" t="s">
        <v>608</v>
      </c>
      <c r="H130">
        <v>5</v>
      </c>
      <c r="J130" s="11" t="s">
        <v>19</v>
      </c>
      <c r="K130" t="s">
        <v>608</v>
      </c>
      <c r="L130">
        <v>167.70000000000002</v>
      </c>
    </row>
    <row r="131" spans="1:15" x14ac:dyDescent="0.3">
      <c r="A131" t="s">
        <v>19</v>
      </c>
      <c r="B131" t="s">
        <v>113</v>
      </c>
      <c r="C131">
        <v>94</v>
      </c>
      <c r="D131">
        <v>3978.5</v>
      </c>
      <c r="F131" s="11" t="s">
        <v>19</v>
      </c>
      <c r="G131" t="s">
        <v>113</v>
      </c>
      <c r="H131">
        <v>94</v>
      </c>
      <c r="J131" s="11" t="s">
        <v>19</v>
      </c>
      <c r="K131" t="s">
        <v>113</v>
      </c>
      <c r="L131">
        <v>3978.5</v>
      </c>
    </row>
    <row r="132" spans="1:15" x14ac:dyDescent="0.3">
      <c r="A132" t="s">
        <v>19</v>
      </c>
      <c r="B132" t="s">
        <v>997</v>
      </c>
      <c r="C132">
        <v>28</v>
      </c>
      <c r="D132">
        <v>1405</v>
      </c>
      <c r="F132" s="11" t="s">
        <v>19</v>
      </c>
      <c r="G132" t="s">
        <v>997</v>
      </c>
      <c r="H132">
        <v>28</v>
      </c>
      <c r="J132" s="11" t="s">
        <v>19</v>
      </c>
      <c r="K132" t="s">
        <v>997</v>
      </c>
      <c r="L132">
        <v>1405</v>
      </c>
    </row>
    <row r="133" spans="1:15" x14ac:dyDescent="0.3">
      <c r="A133" t="s">
        <v>19</v>
      </c>
      <c r="B133" t="s">
        <v>82</v>
      </c>
      <c r="C133">
        <v>179</v>
      </c>
      <c r="D133">
        <v>9869.0999999999985</v>
      </c>
      <c r="F133" s="11" t="s">
        <v>19</v>
      </c>
      <c r="G133" t="s">
        <v>82</v>
      </c>
      <c r="H133">
        <v>179</v>
      </c>
      <c r="J133" s="11" t="s">
        <v>19</v>
      </c>
      <c r="K133" t="s">
        <v>82</v>
      </c>
      <c r="L133">
        <v>9869.0999999999985</v>
      </c>
    </row>
    <row r="134" spans="1:15" x14ac:dyDescent="0.3">
      <c r="A134" t="s">
        <v>19</v>
      </c>
      <c r="B134" t="s">
        <v>243</v>
      </c>
      <c r="C134">
        <v>15</v>
      </c>
      <c r="D134">
        <v>615.29999999999995</v>
      </c>
      <c r="F134" s="11" t="s">
        <v>19</v>
      </c>
      <c r="G134" t="s">
        <v>243</v>
      </c>
      <c r="H134">
        <v>15</v>
      </c>
      <c r="J134" s="11" t="s">
        <v>19</v>
      </c>
      <c r="K134" t="s">
        <v>243</v>
      </c>
      <c r="L134">
        <v>615.29999999999995</v>
      </c>
    </row>
    <row r="135" spans="1:15" x14ac:dyDescent="0.3">
      <c r="A135" t="s">
        <v>19</v>
      </c>
      <c r="B135" t="s">
        <v>1911</v>
      </c>
      <c r="C135">
        <v>3</v>
      </c>
      <c r="D135">
        <v>285</v>
      </c>
      <c r="F135" s="12" t="s">
        <v>19</v>
      </c>
      <c r="G135" t="s">
        <v>1911</v>
      </c>
      <c r="H135">
        <v>3</v>
      </c>
      <c r="J135" s="12" t="s">
        <v>19</v>
      </c>
      <c r="K135" t="s">
        <v>1911</v>
      </c>
      <c r="L135">
        <v>285</v>
      </c>
    </row>
    <row r="137" spans="1:15" x14ac:dyDescent="0.3">
      <c r="F137" t="s">
        <v>2551</v>
      </c>
      <c r="M137" t="s">
        <v>2552</v>
      </c>
    </row>
    <row r="138" spans="1:15" x14ac:dyDescent="0.3">
      <c r="F138" s="5" t="s">
        <v>2519</v>
      </c>
      <c r="G138" t="s">
        <v>2528</v>
      </c>
      <c r="I138" s="5" t="s">
        <v>2528</v>
      </c>
      <c r="J138" s="5" t="s">
        <v>2521</v>
      </c>
    </row>
    <row r="139" spans="1:15" x14ac:dyDescent="0.3">
      <c r="F139" s="6">
        <v>0</v>
      </c>
      <c r="G139">
        <v>175</v>
      </c>
      <c r="I139" s="5" t="s">
        <v>2519</v>
      </c>
      <c r="J139">
        <v>1</v>
      </c>
      <c r="K139">
        <v>2</v>
      </c>
      <c r="L139">
        <v>3</v>
      </c>
      <c r="M139">
        <v>4</v>
      </c>
      <c r="N139">
        <v>5</v>
      </c>
      <c r="O139" t="s">
        <v>2520</v>
      </c>
    </row>
    <row r="140" spans="1:15" x14ac:dyDescent="0.3">
      <c r="F140" s="6">
        <v>1</v>
      </c>
      <c r="G140">
        <v>888</v>
      </c>
      <c r="I140" s="6" t="s">
        <v>2553</v>
      </c>
      <c r="J140">
        <v>7</v>
      </c>
      <c r="K140">
        <v>37</v>
      </c>
      <c r="L140">
        <v>150</v>
      </c>
      <c r="M140">
        <v>312</v>
      </c>
      <c r="N140">
        <v>224</v>
      </c>
      <c r="O140">
        <v>730</v>
      </c>
    </row>
    <row r="141" spans="1:15" x14ac:dyDescent="0.3">
      <c r="F141" s="6">
        <v>2</v>
      </c>
      <c r="G141">
        <v>538</v>
      </c>
      <c r="I141" s="6" t="s">
        <v>2554</v>
      </c>
      <c r="J141">
        <v>8</v>
      </c>
      <c r="K141">
        <v>51</v>
      </c>
      <c r="L141">
        <v>182</v>
      </c>
      <c r="M141">
        <v>373</v>
      </c>
      <c r="N141">
        <v>247</v>
      </c>
      <c r="O141">
        <v>861</v>
      </c>
    </row>
    <row r="142" spans="1:15" x14ac:dyDescent="0.3">
      <c r="F142" s="6">
        <v>3</v>
      </c>
      <c r="G142">
        <v>344</v>
      </c>
      <c r="I142" s="6" t="s">
        <v>2555</v>
      </c>
      <c r="J142">
        <v>6</v>
      </c>
      <c r="K142">
        <v>39</v>
      </c>
      <c r="L142">
        <v>163</v>
      </c>
      <c r="M142">
        <v>351</v>
      </c>
      <c r="N142">
        <v>250</v>
      </c>
      <c r="O142">
        <v>809</v>
      </c>
    </row>
    <row r="143" spans="1:15" x14ac:dyDescent="0.3">
      <c r="F143" s="6">
        <v>4</v>
      </c>
      <c r="G143">
        <v>200</v>
      </c>
      <c r="I143" s="6" t="s">
        <v>2520</v>
      </c>
      <c r="J143">
        <v>21</v>
      </c>
      <c r="K143">
        <v>127</v>
      </c>
      <c r="L143">
        <v>495</v>
      </c>
      <c r="M143">
        <v>1036</v>
      </c>
      <c r="N143">
        <v>721</v>
      </c>
      <c r="O143">
        <v>2400</v>
      </c>
    </row>
    <row r="144" spans="1:15" x14ac:dyDescent="0.3">
      <c r="F144" s="6">
        <v>5</v>
      </c>
      <c r="G144">
        <v>94</v>
      </c>
    </row>
    <row r="145" spans="6:7" x14ac:dyDescent="0.3">
      <c r="F145" s="6">
        <v>6</v>
      </c>
      <c r="G145">
        <v>51</v>
      </c>
    </row>
    <row r="146" spans="6:7" x14ac:dyDescent="0.3">
      <c r="F146" s="6">
        <v>7</v>
      </c>
      <c r="G146">
        <v>32</v>
      </c>
    </row>
    <row r="147" spans="6:7" x14ac:dyDescent="0.3">
      <c r="F147" s="6">
        <v>8</v>
      </c>
      <c r="G147">
        <v>23</v>
      </c>
    </row>
    <row r="148" spans="6:7" x14ac:dyDescent="0.3">
      <c r="F148" s="6">
        <v>9</v>
      </c>
      <c r="G148">
        <v>9</v>
      </c>
    </row>
    <row r="149" spans="6:7" x14ac:dyDescent="0.3">
      <c r="F149" s="6">
        <v>10</v>
      </c>
      <c r="G149">
        <v>8</v>
      </c>
    </row>
    <row r="150" spans="6:7" x14ac:dyDescent="0.3">
      <c r="F150" s="6">
        <v>11</v>
      </c>
      <c r="G150">
        <v>11</v>
      </c>
    </row>
    <row r="151" spans="6:7" x14ac:dyDescent="0.3">
      <c r="F151" s="6">
        <v>12</v>
      </c>
      <c r="G151">
        <v>4</v>
      </c>
    </row>
    <row r="152" spans="6:7" x14ac:dyDescent="0.3">
      <c r="F152" s="6">
        <v>13</v>
      </c>
      <c r="G152">
        <v>10</v>
      </c>
    </row>
    <row r="153" spans="6:7" x14ac:dyDescent="0.3">
      <c r="F153" s="6">
        <v>14</v>
      </c>
      <c r="G153">
        <v>13</v>
      </c>
    </row>
    <row r="154" spans="6:7" x14ac:dyDescent="0.3">
      <c r="F154" s="6" t="s">
        <v>2520</v>
      </c>
      <c r="G154">
        <v>2400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2cf2daa-42ea-4892-91b8-7c8a9ab358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74A8312C5955B49A905997C89C4D637" ma:contentTypeVersion="16" ma:contentTypeDescription="Create a new document." ma:contentTypeScope="" ma:versionID="9ac4aeb958f22f375ddda779e8b1f3d7">
  <xsd:schema xmlns:xsd="http://www.w3.org/2001/XMLSchema" xmlns:xs="http://www.w3.org/2001/XMLSchema" xmlns:p="http://schemas.microsoft.com/office/2006/metadata/properties" xmlns:ns3="d2cf2daa-42ea-4892-91b8-7c8a9ab3587e" xmlns:ns4="501d5d81-31b3-4438-9c7a-7a703a8ecaa1" targetNamespace="http://schemas.microsoft.com/office/2006/metadata/properties" ma:root="true" ma:fieldsID="30ad8fa9036242d72218f5ffe7177159" ns3:_="" ns4:_="">
    <xsd:import namespace="d2cf2daa-42ea-4892-91b8-7c8a9ab3587e"/>
    <xsd:import namespace="501d5d81-31b3-4438-9c7a-7a703a8ecaa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_activity" minOccurs="0"/>
                <xsd:element ref="ns3:MediaServiceObjectDetectorVersions" minOccurs="0"/>
                <xsd:element ref="ns3:MediaServiceSystemTag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cf2daa-42ea-4892-91b8-7c8a9ab35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1d5d81-31b3-4438-9c7a-7a703a8ecaa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530AE-7E65-4483-9805-7568CF1F8EE0}">
  <ds:schemaRefs>
    <ds:schemaRef ds:uri="http://schemas.microsoft.com/sharepoint/v3/contenttype/forms"/>
  </ds:schemaRefs>
</ds:datastoreItem>
</file>

<file path=customXml/itemProps2.xml><?xml version="1.0" encoding="utf-8"?>
<ds:datastoreItem xmlns:ds="http://schemas.openxmlformats.org/officeDocument/2006/customXml" ds:itemID="{990322C3-6892-4AAD-97D0-519A49C2A260}">
  <ds:schemaRefs>
    <ds:schemaRef ds:uri="http://www.w3.org/XML/1998/namespace"/>
    <ds:schemaRef ds:uri="http://purl.org/dc/elements/1.1/"/>
    <ds:schemaRef ds:uri="http://schemas.microsoft.com/office/2006/documentManagement/types"/>
    <ds:schemaRef ds:uri="http://schemas.microsoft.com/office/infopath/2007/PartnerControls"/>
    <ds:schemaRef ds:uri="http://purl.org/dc/dcmitype/"/>
    <ds:schemaRef ds:uri="http://purl.org/dc/terms/"/>
    <ds:schemaRef ds:uri="501d5d81-31b3-4438-9c7a-7a703a8ecaa1"/>
    <ds:schemaRef ds:uri="http://schemas.openxmlformats.org/package/2006/metadata/core-properties"/>
    <ds:schemaRef ds:uri="d2cf2daa-42ea-4892-91b8-7c8a9ab3587e"/>
    <ds:schemaRef ds:uri="http://schemas.microsoft.com/office/2006/metadata/properties"/>
  </ds:schemaRefs>
</ds:datastoreItem>
</file>

<file path=customXml/itemProps3.xml><?xml version="1.0" encoding="utf-8"?>
<ds:datastoreItem xmlns:ds="http://schemas.openxmlformats.org/officeDocument/2006/customXml" ds:itemID="{45DAC512-5CF0-4425-8F01-34ECD0B06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cf2daa-42ea-4892-91b8-7c8a9ab3587e"/>
    <ds:schemaRef ds:uri="501d5d81-31b3-4438-9c7a-7a703a8eca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8249af2-6eb1-4f2a-8f07-d3180e37fd43}" enabled="0" method="" siteId="{48249af2-6eb1-4f2a-8f07-d3180e37fd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Data</vt:lpstr>
      <vt:lpstr>Pivots</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Jordan McIntosh</cp:lastModifiedBy>
  <dcterms:created xsi:type="dcterms:W3CDTF">2025-06-13T02:42:26Z</dcterms:created>
  <dcterms:modified xsi:type="dcterms:W3CDTF">2025-12-02T16:09:30Z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0x010100574A8312C5955B49A905997C89C4D637</vt:lpwstr>
  </property>
</Properties>
</file>